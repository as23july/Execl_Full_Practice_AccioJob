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DA ACCIO JOB\"/>
    </mc:Choice>
  </mc:AlternateContent>
  <xr:revisionPtr revIDLastSave="0" documentId="13_ncr:1_{82E78001-C9E0-47AA-BB82-A9C1E63E4AF2}" xr6:coauthVersionLast="47" xr6:coauthVersionMax="47" xr10:uidLastSave="{00000000-0000-0000-0000-000000000000}"/>
  <bookViews>
    <workbookView xWindow="-108" yWindow="-108" windowWidth="23256" windowHeight="12456" activeTab="4" xr2:uid="{CE3B3D7E-0BE9-4D5A-A54B-1240C4612186}"/>
  </bookViews>
  <sheets>
    <sheet name="Dataset" sheetId="1" r:id="rId1"/>
    <sheet name="Questions" sheetId="4" r:id="rId2"/>
    <sheet name="Easy" sheetId="5" r:id="rId3"/>
    <sheet name="Medium" sheetId="6" r:id="rId4"/>
    <sheet name="Hard" sheetId="7" r:id="rId5"/>
  </sheets>
  <definedNames>
    <definedName name="_xlnm._FilterDatabase" localSheetId="0" hidden="1">Dataset!$A$1:$N$81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7" l="1"/>
  <c r="Z2" i="1" a="1"/>
  <c r="Z2" i="1" s="1"/>
  <c r="C45" i="7"/>
  <c r="B45" i="7"/>
  <c r="C42" i="7"/>
  <c r="B42" i="7"/>
  <c r="D39" i="7"/>
  <c r="C39" i="7"/>
  <c r="B39" i="7"/>
  <c r="C36" i="7" a="1"/>
  <c r="C36" i="7" s="1"/>
  <c r="B36" i="7"/>
  <c r="B33" i="7"/>
  <c r="C30" i="7"/>
  <c r="B30" i="7"/>
  <c r="E26" i="7"/>
  <c r="D26" i="7"/>
  <c r="C26" i="7"/>
  <c r="B26" i="7"/>
  <c r="B22" i="7" a="1"/>
  <c r="B22" i="7" s="1"/>
  <c r="B19" i="7" a="1"/>
  <c r="B19" i="7" s="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2"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 i="1"/>
  <c r="X4" i="1"/>
  <c r="X5" i="1"/>
  <c r="X2" i="1"/>
  <c r="D9" i="7"/>
  <c r="C9" i="7"/>
  <c r="B9" i="7"/>
  <c r="W10" i="1" a="1"/>
  <c r="W10" i="1" s="1"/>
  <c r="W11" i="1" a="1"/>
  <c r="W11" i="1" s="1"/>
  <c r="W12" i="1" a="1"/>
  <c r="W12" i="1" s="1"/>
  <c r="W13" i="1" a="1"/>
  <c r="W13" i="1" s="1"/>
  <c r="W14" i="1" a="1"/>
  <c r="W14" i="1" s="1"/>
  <c r="W15" i="1" a="1"/>
  <c r="W15" i="1" s="1"/>
  <c r="W16" i="1" a="1"/>
  <c r="W16" i="1" s="1"/>
  <c r="W17" i="1" a="1"/>
  <c r="W17" i="1"/>
  <c r="W18" i="1" a="1"/>
  <c r="W18" i="1" s="1"/>
  <c r="W19" i="1" a="1"/>
  <c r="W19" i="1" s="1"/>
  <c r="W20" i="1" a="1"/>
  <c r="W20" i="1" s="1"/>
  <c r="W21" i="1" a="1"/>
  <c r="W21" i="1" s="1"/>
  <c r="W22" i="1" a="1"/>
  <c r="W22" i="1" s="1"/>
  <c r="W23" i="1" a="1"/>
  <c r="W23" i="1" s="1"/>
  <c r="W24" i="1" a="1"/>
  <c r="W24" i="1" s="1"/>
  <c r="W25" i="1" a="1"/>
  <c r="W25" i="1"/>
  <c r="W26" i="1" a="1"/>
  <c r="W26" i="1" s="1"/>
  <c r="W27" i="1" a="1"/>
  <c r="W27" i="1" s="1"/>
  <c r="W28" i="1" a="1"/>
  <c r="W28" i="1" s="1"/>
  <c r="W29" i="1" a="1"/>
  <c r="W29" i="1" s="1"/>
  <c r="W30" i="1" a="1"/>
  <c r="W30" i="1" s="1"/>
  <c r="W31" i="1" a="1"/>
  <c r="W31" i="1" s="1"/>
  <c r="W32" i="1" a="1"/>
  <c r="W32" i="1" s="1"/>
  <c r="W33" i="1" a="1"/>
  <c r="W33" i="1"/>
  <c r="W34" i="1" a="1"/>
  <c r="W34" i="1" s="1"/>
  <c r="W35" i="1" a="1"/>
  <c r="W35" i="1" s="1"/>
  <c r="W36" i="1" a="1"/>
  <c r="W36" i="1" s="1"/>
  <c r="W37" i="1" a="1"/>
  <c r="W37" i="1" s="1"/>
  <c r="W38" i="1" a="1"/>
  <c r="W38" i="1" s="1"/>
  <c r="W39" i="1" a="1"/>
  <c r="W39" i="1" s="1"/>
  <c r="W40" i="1" a="1"/>
  <c r="W40" i="1" s="1"/>
  <c r="W41" i="1" a="1"/>
  <c r="W41" i="1"/>
  <c r="W42" i="1" a="1"/>
  <c r="W42" i="1" s="1"/>
  <c r="W43" i="1" a="1"/>
  <c r="W43" i="1" s="1"/>
  <c r="W44" i="1" a="1"/>
  <c r="W44" i="1" s="1"/>
  <c r="W45" i="1" a="1"/>
  <c r="W45" i="1" s="1"/>
  <c r="W46" i="1" a="1"/>
  <c r="W46" i="1" s="1"/>
  <c r="W47" i="1" a="1"/>
  <c r="W47" i="1" s="1"/>
  <c r="W48" i="1" a="1"/>
  <c r="W48" i="1" s="1"/>
  <c r="W49" i="1" a="1"/>
  <c r="W49" i="1"/>
  <c r="W50" i="1" a="1"/>
  <c r="W50" i="1" s="1"/>
  <c r="W51" i="1" a="1"/>
  <c r="W51" i="1" s="1"/>
  <c r="W52" i="1" a="1"/>
  <c r="W52" i="1" s="1"/>
  <c r="W53" i="1" a="1"/>
  <c r="W53" i="1" s="1"/>
  <c r="W54" i="1" a="1"/>
  <c r="W54" i="1" s="1"/>
  <c r="W55" i="1" a="1"/>
  <c r="W55" i="1" s="1"/>
  <c r="W56" i="1" a="1"/>
  <c r="W56" i="1" s="1"/>
  <c r="W57" i="1" a="1"/>
  <c r="W57" i="1"/>
  <c r="W58" i="1" a="1"/>
  <c r="W58" i="1" s="1"/>
  <c r="W59" i="1" a="1"/>
  <c r="W59" i="1" s="1"/>
  <c r="W60" i="1" a="1"/>
  <c r="W60" i="1" s="1"/>
  <c r="W61" i="1" a="1"/>
  <c r="W61" i="1" s="1"/>
  <c r="W62" i="1" a="1"/>
  <c r="W62" i="1" s="1"/>
  <c r="W63" i="1" a="1"/>
  <c r="W63" i="1" s="1"/>
  <c r="W64" i="1" a="1"/>
  <c r="W64" i="1" s="1"/>
  <c r="W65" i="1" a="1"/>
  <c r="W65" i="1"/>
  <c r="W66" i="1" a="1"/>
  <c r="W66" i="1" s="1"/>
  <c r="W67" i="1" a="1"/>
  <c r="W67" i="1" s="1"/>
  <c r="W68" i="1" a="1"/>
  <c r="W68" i="1" s="1"/>
  <c r="W69" i="1" a="1"/>
  <c r="W69" i="1" s="1"/>
  <c r="W70" i="1" a="1"/>
  <c r="W70" i="1" s="1"/>
  <c r="W71" i="1" a="1"/>
  <c r="W71" i="1" s="1"/>
  <c r="W72" i="1" a="1"/>
  <c r="W72" i="1" s="1"/>
  <c r="W73" i="1" a="1"/>
  <c r="W73" i="1"/>
  <c r="W74" i="1" a="1"/>
  <c r="W74" i="1" s="1"/>
  <c r="W75" i="1" a="1"/>
  <c r="W75" i="1" s="1"/>
  <c r="W76" i="1" a="1"/>
  <c r="W76" i="1" s="1"/>
  <c r="W77" i="1" a="1"/>
  <c r="W77" i="1" s="1"/>
  <c r="W78" i="1" a="1"/>
  <c r="W78" i="1" s="1"/>
  <c r="W79" i="1" a="1"/>
  <c r="W79" i="1" s="1"/>
  <c r="W80" i="1" a="1"/>
  <c r="W80" i="1" s="1"/>
  <c r="W81" i="1" a="1"/>
  <c r="W81" i="1"/>
  <c r="W82" i="1" a="1"/>
  <c r="W82" i="1" s="1"/>
  <c r="W83" i="1" a="1"/>
  <c r="W83" i="1" s="1"/>
  <c r="W84" i="1" a="1"/>
  <c r="W84" i="1" s="1"/>
  <c r="W85" i="1" a="1"/>
  <c r="W85" i="1" s="1"/>
  <c r="W86" i="1" a="1"/>
  <c r="W86" i="1" s="1"/>
  <c r="W87" i="1" a="1"/>
  <c r="W87" i="1" s="1"/>
  <c r="W88" i="1" a="1"/>
  <c r="W88" i="1" s="1"/>
  <c r="W89" i="1" a="1"/>
  <c r="W89" i="1"/>
  <c r="W90" i="1" a="1"/>
  <c r="W90" i="1" s="1"/>
  <c r="W91" i="1" a="1"/>
  <c r="W91" i="1" s="1"/>
  <c r="W92" i="1" a="1"/>
  <c r="W92" i="1" s="1"/>
  <c r="W93" i="1" a="1"/>
  <c r="W93" i="1" s="1"/>
  <c r="W94" i="1" a="1"/>
  <c r="W94" i="1" s="1"/>
  <c r="W95" i="1" a="1"/>
  <c r="W95" i="1" s="1"/>
  <c r="W96" i="1" a="1"/>
  <c r="W96" i="1" s="1"/>
  <c r="W97" i="1" a="1"/>
  <c r="W97" i="1"/>
  <c r="W98" i="1" a="1"/>
  <c r="W98" i="1" s="1"/>
  <c r="W99" i="1" a="1"/>
  <c r="W99" i="1" s="1"/>
  <c r="W100" i="1" a="1"/>
  <c r="W100" i="1" s="1"/>
  <c r="W101" i="1" a="1"/>
  <c r="W101" i="1" s="1"/>
  <c r="W102" i="1" a="1"/>
  <c r="W102" i="1" s="1"/>
  <c r="W103" i="1" a="1"/>
  <c r="W103" i="1" s="1"/>
  <c r="W104" i="1" a="1"/>
  <c r="W104" i="1" s="1"/>
  <c r="W105" i="1" a="1"/>
  <c r="W105" i="1"/>
  <c r="W106" i="1" a="1"/>
  <c r="W106" i="1" s="1"/>
  <c r="W107" i="1" a="1"/>
  <c r="W107" i="1" s="1"/>
  <c r="W108" i="1" a="1"/>
  <c r="W108" i="1" s="1"/>
  <c r="W109" i="1" a="1"/>
  <c r="W109" i="1" s="1"/>
  <c r="W110" i="1" a="1"/>
  <c r="W110" i="1" s="1"/>
  <c r="W111" i="1" a="1"/>
  <c r="W111" i="1" s="1"/>
  <c r="W112" i="1" a="1"/>
  <c r="W112" i="1" s="1"/>
  <c r="W113" i="1" a="1"/>
  <c r="W113" i="1"/>
  <c r="W114" i="1" a="1"/>
  <c r="W114" i="1" s="1"/>
  <c r="W115" i="1" a="1"/>
  <c r="W115" i="1" s="1"/>
  <c r="W116" i="1" a="1"/>
  <c r="W116" i="1" s="1"/>
  <c r="W117" i="1" a="1"/>
  <c r="W117" i="1" s="1"/>
  <c r="W118" i="1" a="1"/>
  <c r="W118" i="1" s="1"/>
  <c r="W119" i="1" a="1"/>
  <c r="W119" i="1" s="1"/>
  <c r="W120" i="1" a="1"/>
  <c r="W120" i="1" s="1"/>
  <c r="W121" i="1" a="1"/>
  <c r="W121" i="1"/>
  <c r="W122" i="1" a="1"/>
  <c r="W122" i="1" s="1"/>
  <c r="W123" i="1" a="1"/>
  <c r="W123" i="1" s="1"/>
  <c r="W124" i="1" a="1"/>
  <c r="W124" i="1" s="1"/>
  <c r="W125" i="1" a="1"/>
  <c r="W125" i="1" s="1"/>
  <c r="W126" i="1" a="1"/>
  <c r="W126" i="1" s="1"/>
  <c r="W127" i="1" a="1"/>
  <c r="W127" i="1" s="1"/>
  <c r="W128" i="1" a="1"/>
  <c r="W128" i="1" s="1"/>
  <c r="W129" i="1" a="1"/>
  <c r="W129" i="1"/>
  <c r="W130" i="1" a="1"/>
  <c r="W130" i="1" s="1"/>
  <c r="W131" i="1" a="1"/>
  <c r="W131" i="1" s="1"/>
  <c r="W132" i="1" a="1"/>
  <c r="W132" i="1" s="1"/>
  <c r="W133" i="1" a="1"/>
  <c r="W133" i="1" s="1"/>
  <c r="W134" i="1" a="1"/>
  <c r="W134" i="1" s="1"/>
  <c r="W135" i="1" a="1"/>
  <c r="W135" i="1" s="1"/>
  <c r="W136" i="1" a="1"/>
  <c r="W136" i="1" s="1"/>
  <c r="W137" i="1" a="1"/>
  <c r="W137" i="1"/>
  <c r="W138" i="1" a="1"/>
  <c r="W138" i="1" s="1"/>
  <c r="W139" i="1" a="1"/>
  <c r="W139" i="1" s="1"/>
  <c r="W140" i="1" a="1"/>
  <c r="W140" i="1" s="1"/>
  <c r="W141" i="1" a="1"/>
  <c r="W141" i="1" s="1"/>
  <c r="W142" i="1" a="1"/>
  <c r="W142" i="1" s="1"/>
  <c r="W143" i="1" a="1"/>
  <c r="W143" i="1" s="1"/>
  <c r="W144" i="1" a="1"/>
  <c r="W144" i="1" s="1"/>
  <c r="W145" i="1" a="1"/>
  <c r="W145" i="1"/>
  <c r="W146" i="1" a="1"/>
  <c r="W146" i="1" s="1"/>
  <c r="W147" i="1" a="1"/>
  <c r="W147" i="1" s="1"/>
  <c r="W148" i="1" a="1"/>
  <c r="W148" i="1" s="1"/>
  <c r="W149" i="1" a="1"/>
  <c r="W149" i="1" s="1"/>
  <c r="W150" i="1" a="1"/>
  <c r="W150" i="1" s="1"/>
  <c r="W151" i="1" a="1"/>
  <c r="W151" i="1" s="1"/>
  <c r="W152" i="1" a="1"/>
  <c r="W152" i="1" s="1"/>
  <c r="W153" i="1" a="1"/>
  <c r="W153" i="1"/>
  <c r="W154" i="1" a="1"/>
  <c r="W154" i="1" s="1"/>
  <c r="W155" i="1" a="1"/>
  <c r="W155" i="1" s="1"/>
  <c r="W156" i="1" a="1"/>
  <c r="W156" i="1" s="1"/>
  <c r="W157" i="1" a="1"/>
  <c r="W157" i="1" s="1"/>
  <c r="W158" i="1" a="1"/>
  <c r="W158" i="1" s="1"/>
  <c r="W159" i="1" a="1"/>
  <c r="W159" i="1" s="1"/>
  <c r="W160" i="1" a="1"/>
  <c r="W160" i="1" s="1"/>
  <c r="W161" i="1" a="1"/>
  <c r="W161" i="1"/>
  <c r="W162" i="1" a="1"/>
  <c r="W162" i="1" s="1"/>
  <c r="W163" i="1" a="1"/>
  <c r="W163" i="1" s="1"/>
  <c r="W164" i="1" a="1"/>
  <c r="W164" i="1" s="1"/>
  <c r="W165" i="1" a="1"/>
  <c r="W165" i="1" s="1"/>
  <c r="W166" i="1" a="1"/>
  <c r="W166" i="1" s="1"/>
  <c r="W167" i="1" a="1"/>
  <c r="W167" i="1" s="1"/>
  <c r="W168" i="1" a="1"/>
  <c r="W168" i="1" s="1"/>
  <c r="W169" i="1" a="1"/>
  <c r="W169" i="1"/>
  <c r="W170" i="1" a="1"/>
  <c r="W170" i="1" s="1"/>
  <c r="W171" i="1" a="1"/>
  <c r="W171" i="1" s="1"/>
  <c r="W172" i="1" a="1"/>
  <c r="W172" i="1" s="1"/>
  <c r="W173" i="1" a="1"/>
  <c r="W173" i="1" s="1"/>
  <c r="W174" i="1" a="1"/>
  <c r="W174" i="1" s="1"/>
  <c r="W175" i="1" a="1"/>
  <c r="W175" i="1" s="1"/>
  <c r="W176" i="1" a="1"/>
  <c r="W176" i="1" s="1"/>
  <c r="W177" i="1" a="1"/>
  <c r="W177" i="1"/>
  <c r="W178" i="1" a="1"/>
  <c r="W178" i="1" s="1"/>
  <c r="W179" i="1" a="1"/>
  <c r="W179" i="1" s="1"/>
  <c r="W180" i="1" a="1"/>
  <c r="W180" i="1" s="1"/>
  <c r="W181" i="1" a="1"/>
  <c r="W181" i="1" s="1"/>
  <c r="W182" i="1" a="1"/>
  <c r="W182" i="1" s="1"/>
  <c r="W183" i="1" a="1"/>
  <c r="W183" i="1" s="1"/>
  <c r="W184" i="1" a="1"/>
  <c r="W184" i="1" s="1"/>
  <c r="W185" i="1" a="1"/>
  <c r="W185" i="1"/>
  <c r="W186" i="1" a="1"/>
  <c r="W186" i="1" s="1"/>
  <c r="W187" i="1" a="1"/>
  <c r="W187" i="1" s="1"/>
  <c r="W188" i="1" a="1"/>
  <c r="W188" i="1" s="1"/>
  <c r="W189" i="1" a="1"/>
  <c r="W189" i="1" s="1"/>
  <c r="W190" i="1" a="1"/>
  <c r="W190" i="1" s="1"/>
  <c r="W191" i="1" a="1"/>
  <c r="W191" i="1" s="1"/>
  <c r="W192" i="1" a="1"/>
  <c r="W192" i="1" s="1"/>
  <c r="W193" i="1" a="1"/>
  <c r="W193" i="1"/>
  <c r="W194" i="1" a="1"/>
  <c r="W194" i="1" s="1"/>
  <c r="W195" i="1" a="1"/>
  <c r="W195" i="1" s="1"/>
  <c r="W196" i="1" a="1"/>
  <c r="W196" i="1" s="1"/>
  <c r="W197" i="1" a="1"/>
  <c r="W197" i="1" s="1"/>
  <c r="W198" i="1" a="1"/>
  <c r="W198" i="1" s="1"/>
  <c r="W199" i="1" a="1"/>
  <c r="W199" i="1" s="1"/>
  <c r="W200" i="1" a="1"/>
  <c r="W200" i="1" s="1"/>
  <c r="W201" i="1" a="1"/>
  <c r="W201" i="1"/>
  <c r="W202" i="1" a="1"/>
  <c r="W202" i="1" s="1"/>
  <c r="W203" i="1" a="1"/>
  <c r="W203" i="1" s="1"/>
  <c r="W204" i="1" a="1"/>
  <c r="W204" i="1" s="1"/>
  <c r="W205" i="1" a="1"/>
  <c r="W205" i="1" s="1"/>
  <c r="W206" i="1" a="1"/>
  <c r="W206" i="1" s="1"/>
  <c r="W207" i="1" a="1"/>
  <c r="W207" i="1" s="1"/>
  <c r="W208" i="1" a="1"/>
  <c r="W208" i="1" s="1"/>
  <c r="W209" i="1" a="1"/>
  <c r="W209" i="1"/>
  <c r="W210" i="1" a="1"/>
  <c r="W210" i="1" s="1"/>
  <c r="W211" i="1" a="1"/>
  <c r="W211" i="1" s="1"/>
  <c r="W212" i="1" a="1"/>
  <c r="W212" i="1" s="1"/>
  <c r="W213" i="1" a="1"/>
  <c r="W213" i="1" s="1"/>
  <c r="W214" i="1" a="1"/>
  <c r="W214" i="1" s="1"/>
  <c r="W215" i="1" a="1"/>
  <c r="W215" i="1" s="1"/>
  <c r="W216" i="1" a="1"/>
  <c r="W216" i="1" s="1"/>
  <c r="W217" i="1" a="1"/>
  <c r="W217" i="1"/>
  <c r="W218" i="1" a="1"/>
  <c r="W218" i="1" s="1"/>
  <c r="W219" i="1" a="1"/>
  <c r="W219" i="1" s="1"/>
  <c r="W220" i="1" a="1"/>
  <c r="W220" i="1" s="1"/>
  <c r="W221" i="1" a="1"/>
  <c r="W221" i="1" s="1"/>
  <c r="W222" i="1" a="1"/>
  <c r="W222" i="1" s="1"/>
  <c r="W223" i="1" a="1"/>
  <c r="W223" i="1" s="1"/>
  <c r="W224" i="1" a="1"/>
  <c r="W224" i="1" s="1"/>
  <c r="W225" i="1" a="1"/>
  <c r="W225" i="1"/>
  <c r="W226" i="1" a="1"/>
  <c r="W226" i="1" s="1"/>
  <c r="W227" i="1" a="1"/>
  <c r="W227" i="1" s="1"/>
  <c r="W228" i="1" a="1"/>
  <c r="W228" i="1" s="1"/>
  <c r="W229" i="1" a="1"/>
  <c r="W229" i="1" s="1"/>
  <c r="W230" i="1" a="1"/>
  <c r="W230" i="1" s="1"/>
  <c r="W231" i="1" a="1"/>
  <c r="W231" i="1" s="1"/>
  <c r="W232" i="1" a="1"/>
  <c r="W232" i="1" s="1"/>
  <c r="W233" i="1" a="1"/>
  <c r="W233" i="1"/>
  <c r="W234" i="1" a="1"/>
  <c r="W234" i="1" s="1"/>
  <c r="W235" i="1" a="1"/>
  <c r="W235" i="1" s="1"/>
  <c r="W236" i="1" a="1"/>
  <c r="W236" i="1" s="1"/>
  <c r="W237" i="1" a="1"/>
  <c r="W237" i="1" s="1"/>
  <c r="W238" i="1" a="1"/>
  <c r="W238" i="1" s="1"/>
  <c r="W239" i="1" a="1"/>
  <c r="W239" i="1" s="1"/>
  <c r="W240" i="1" a="1"/>
  <c r="W240" i="1" s="1"/>
  <c r="W241" i="1" a="1"/>
  <c r="W241" i="1"/>
  <c r="W242" i="1" a="1"/>
  <c r="W242" i="1" s="1"/>
  <c r="W243" i="1" a="1"/>
  <c r="W243" i="1" s="1"/>
  <c r="W244" i="1" a="1"/>
  <c r="W244" i="1" s="1"/>
  <c r="W245" i="1" a="1"/>
  <c r="W245" i="1" s="1"/>
  <c r="W246" i="1" a="1"/>
  <c r="W246" i="1" s="1"/>
  <c r="W247" i="1" a="1"/>
  <c r="W247" i="1" s="1"/>
  <c r="W248" i="1" a="1"/>
  <c r="W248" i="1" s="1"/>
  <c r="W249" i="1" a="1"/>
  <c r="W249" i="1"/>
  <c r="W250" i="1" a="1"/>
  <c r="W250" i="1" s="1"/>
  <c r="W251" i="1" a="1"/>
  <c r="W251" i="1" s="1"/>
  <c r="W252" i="1" a="1"/>
  <c r="W252" i="1" s="1"/>
  <c r="W253" i="1" a="1"/>
  <c r="W253" i="1" s="1"/>
  <c r="W254" i="1" a="1"/>
  <c r="W254" i="1" s="1"/>
  <c r="W255" i="1" a="1"/>
  <c r="W255" i="1" s="1"/>
  <c r="W256" i="1" a="1"/>
  <c r="W256" i="1" s="1"/>
  <c r="W257" i="1" a="1"/>
  <c r="W257" i="1"/>
  <c r="W258" i="1" a="1"/>
  <c r="W258" i="1" s="1"/>
  <c r="W259" i="1" a="1"/>
  <c r="W259" i="1" s="1"/>
  <c r="W260" i="1" a="1"/>
  <c r="W260" i="1" s="1"/>
  <c r="W261" i="1" a="1"/>
  <c r="W261" i="1" s="1"/>
  <c r="W262" i="1" a="1"/>
  <c r="W262" i="1" s="1"/>
  <c r="W263" i="1" a="1"/>
  <c r="W263" i="1" s="1"/>
  <c r="W264" i="1" a="1"/>
  <c r="W264" i="1" s="1"/>
  <c r="W265" i="1" a="1"/>
  <c r="W265" i="1"/>
  <c r="W266" i="1" a="1"/>
  <c r="W266" i="1" s="1"/>
  <c r="W267" i="1" a="1"/>
  <c r="W267" i="1" s="1"/>
  <c r="W268" i="1" a="1"/>
  <c r="W268" i="1" s="1"/>
  <c r="W269" i="1" a="1"/>
  <c r="W269" i="1" s="1"/>
  <c r="W270" i="1" a="1"/>
  <c r="W270" i="1" s="1"/>
  <c r="W271" i="1" a="1"/>
  <c r="W271" i="1" s="1"/>
  <c r="W272" i="1" a="1"/>
  <c r="W272" i="1" s="1"/>
  <c r="W273" i="1" a="1"/>
  <c r="W273" i="1"/>
  <c r="W274" i="1" a="1"/>
  <c r="W274" i="1" s="1"/>
  <c r="W275" i="1" a="1"/>
  <c r="W275" i="1" s="1"/>
  <c r="W276" i="1" a="1"/>
  <c r="W276" i="1" s="1"/>
  <c r="W277" i="1" a="1"/>
  <c r="W277" i="1" s="1"/>
  <c r="W278" i="1" a="1"/>
  <c r="W278" i="1" s="1"/>
  <c r="W279" i="1" a="1"/>
  <c r="W279" i="1" s="1"/>
  <c r="W280" i="1" a="1"/>
  <c r="W280" i="1" s="1"/>
  <c r="W281" i="1" a="1"/>
  <c r="W281" i="1"/>
  <c r="W282" i="1" a="1"/>
  <c r="W282" i="1" s="1"/>
  <c r="W283" i="1" a="1"/>
  <c r="W283" i="1" s="1"/>
  <c r="W284" i="1" a="1"/>
  <c r="W284" i="1" s="1"/>
  <c r="W285" i="1" a="1"/>
  <c r="W285" i="1" s="1"/>
  <c r="W286" i="1" a="1"/>
  <c r="W286" i="1" s="1"/>
  <c r="W287" i="1" a="1"/>
  <c r="W287" i="1" s="1"/>
  <c r="W288" i="1" a="1"/>
  <c r="W288" i="1" s="1"/>
  <c r="W289" i="1" a="1"/>
  <c r="W289" i="1"/>
  <c r="W290" i="1" a="1"/>
  <c r="W290" i="1" s="1"/>
  <c r="W291" i="1" a="1"/>
  <c r="W291" i="1" s="1"/>
  <c r="W292" i="1" a="1"/>
  <c r="W292" i="1" s="1"/>
  <c r="W293" i="1" a="1"/>
  <c r="W293" i="1" s="1"/>
  <c r="W294" i="1" a="1"/>
  <c r="W294" i="1" s="1"/>
  <c r="W295" i="1" a="1"/>
  <c r="W295" i="1" s="1"/>
  <c r="W296" i="1" a="1"/>
  <c r="W296" i="1" s="1"/>
  <c r="W297" i="1" a="1"/>
  <c r="W297" i="1"/>
  <c r="W298" i="1" a="1"/>
  <c r="W298" i="1" s="1"/>
  <c r="W299" i="1" a="1"/>
  <c r="W299" i="1" s="1"/>
  <c r="W300" i="1" a="1"/>
  <c r="W300" i="1" s="1"/>
  <c r="W301" i="1" a="1"/>
  <c r="W301" i="1" s="1"/>
  <c r="W302" i="1" a="1"/>
  <c r="W302" i="1" s="1"/>
  <c r="W303" i="1" a="1"/>
  <c r="W303" i="1" s="1"/>
  <c r="W304" i="1" a="1"/>
  <c r="W304" i="1" s="1"/>
  <c r="W305" i="1" a="1"/>
  <c r="W305" i="1"/>
  <c r="W306" i="1" a="1"/>
  <c r="W306" i="1" s="1"/>
  <c r="W307" i="1" a="1"/>
  <c r="W307" i="1" s="1"/>
  <c r="W308" i="1" a="1"/>
  <c r="W308" i="1" s="1"/>
  <c r="W309" i="1" a="1"/>
  <c r="W309" i="1" s="1"/>
  <c r="W310" i="1" a="1"/>
  <c r="W310" i="1" s="1"/>
  <c r="W311" i="1" a="1"/>
  <c r="W311" i="1" s="1"/>
  <c r="W312" i="1" a="1"/>
  <c r="W312" i="1" s="1"/>
  <c r="W313" i="1" a="1"/>
  <c r="W313" i="1"/>
  <c r="W314" i="1" a="1"/>
  <c r="W314" i="1" s="1"/>
  <c r="W315" i="1" a="1"/>
  <c r="W315" i="1" s="1"/>
  <c r="W316" i="1" a="1"/>
  <c r="W316" i="1" s="1"/>
  <c r="W317" i="1" a="1"/>
  <c r="W317" i="1" s="1"/>
  <c r="W318" i="1" a="1"/>
  <c r="W318" i="1" s="1"/>
  <c r="W319" i="1" a="1"/>
  <c r="W319" i="1" s="1"/>
  <c r="W320" i="1" a="1"/>
  <c r="W320" i="1" s="1"/>
  <c r="W321" i="1" a="1"/>
  <c r="W321" i="1" s="1"/>
  <c r="W322" i="1" a="1"/>
  <c r="W322" i="1" s="1"/>
  <c r="W323" i="1" a="1"/>
  <c r="W323" i="1" s="1"/>
  <c r="W324" i="1" a="1"/>
  <c r="W324" i="1" s="1"/>
  <c r="W325" i="1" a="1"/>
  <c r="W325" i="1" s="1"/>
  <c r="W326" i="1" a="1"/>
  <c r="W326" i="1" s="1"/>
  <c r="W327" i="1" a="1"/>
  <c r="W327" i="1" s="1"/>
  <c r="W328" i="1" a="1"/>
  <c r="W328" i="1" s="1"/>
  <c r="W329" i="1" a="1"/>
  <c r="W329" i="1" s="1"/>
  <c r="W330" i="1" a="1"/>
  <c r="W330" i="1" s="1"/>
  <c r="W331" i="1" a="1"/>
  <c r="W331" i="1" s="1"/>
  <c r="W332" i="1" a="1"/>
  <c r="W332" i="1" s="1"/>
  <c r="W333" i="1" a="1"/>
  <c r="W333" i="1" s="1"/>
  <c r="W334" i="1" a="1"/>
  <c r="W334" i="1" s="1"/>
  <c r="W335" i="1" a="1"/>
  <c r="W335" i="1" s="1"/>
  <c r="W336" i="1" a="1"/>
  <c r="W336" i="1" s="1"/>
  <c r="W337" i="1" a="1"/>
  <c r="W337" i="1" s="1"/>
  <c r="W338" i="1" a="1"/>
  <c r="W338" i="1" s="1"/>
  <c r="W339" i="1" a="1"/>
  <c r="W339" i="1" s="1"/>
  <c r="W340" i="1" a="1"/>
  <c r="W340" i="1" s="1"/>
  <c r="W341" i="1" a="1"/>
  <c r="W341" i="1" s="1"/>
  <c r="W342" i="1" a="1"/>
  <c r="W342" i="1" s="1"/>
  <c r="W343" i="1" a="1"/>
  <c r="W343" i="1" s="1"/>
  <c r="W344" i="1" a="1"/>
  <c r="W344" i="1" s="1"/>
  <c r="W345" i="1" a="1"/>
  <c r="W345" i="1" s="1"/>
  <c r="W346" i="1" a="1"/>
  <c r="W346" i="1" s="1"/>
  <c r="W347" i="1" a="1"/>
  <c r="W347" i="1" s="1"/>
  <c r="W348" i="1" a="1"/>
  <c r="W348" i="1" s="1"/>
  <c r="W349" i="1" a="1"/>
  <c r="W349" i="1" s="1"/>
  <c r="W350" i="1" a="1"/>
  <c r="W350" i="1" s="1"/>
  <c r="W3" i="1" a="1"/>
  <c r="W3" i="1" s="1"/>
  <c r="W4" i="1" a="1"/>
  <c r="W4" i="1" s="1"/>
  <c r="W5" i="1" a="1"/>
  <c r="W5" i="1" s="1"/>
  <c r="W6" i="1" a="1"/>
  <c r="W6" i="1" s="1"/>
  <c r="W7" i="1" a="1"/>
  <c r="W7" i="1" s="1"/>
  <c r="W8" i="1" a="1"/>
  <c r="W8" i="1" s="1"/>
  <c r="W9" i="1" a="1"/>
  <c r="W9" i="1" s="1"/>
  <c r="W2" i="1" a="1"/>
  <c r="W2" i="1" s="1"/>
  <c r="C3" i="7"/>
  <c r="B3" i="7"/>
  <c r="D36" i="6"/>
  <c r="C36" i="6"/>
  <c r="B36" i="6"/>
  <c r="B33" i="6"/>
  <c r="C30" i="6" a="1"/>
  <c r="C30" i="6" s="1"/>
  <c r="B30" i="6"/>
  <c r="V2" i="1" a="1"/>
  <c r="V2" i="1" s="1"/>
  <c r="U2" i="1" a="1"/>
  <c r="U2" i="1" s="1"/>
  <c r="T2" i="1" a="1"/>
  <c r="T2" i="1" s="1"/>
  <c r="D22" i="6"/>
  <c r="C22" i="6"/>
  <c r="B22" i="6"/>
  <c r="C19" i="6"/>
  <c r="B19" i="6"/>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2" i="1"/>
  <c r="B20" i="5"/>
  <c r="C16" i="6"/>
  <c r="B16" i="6" a="1"/>
  <c r="B16" i="6" s="1"/>
  <c r="C13" i="6" a="1"/>
  <c r="C13" i="6" s="1"/>
  <c r="B13" i="6"/>
  <c r="B10" i="6" a="1"/>
  <c r="B10" i="6" s="1"/>
  <c r="B8" i="6" a="1"/>
  <c r="B8" i="6" s="1"/>
  <c r="C5" i="6"/>
  <c r="B5" i="6"/>
  <c r="C2" i="6" a="1"/>
  <c r="C2" i="6" s="1"/>
  <c r="B2" i="6"/>
  <c r="D31" i="5"/>
  <c r="B31" i="5"/>
  <c r="D28" i="5"/>
  <c r="B28" i="5"/>
  <c r="D25" i="5"/>
  <c r="R2" i="1" a="1"/>
  <c r="R2" i="1" s="1"/>
  <c r="P2" i="1" a="1"/>
  <c r="P2" i="1" s="1"/>
  <c r="Q2" i="1" s="1" a="1"/>
  <c r="Q2" i="1" s="1"/>
  <c r="B12" i="5"/>
  <c r="B10" i="5" a="1"/>
  <c r="B10" i="5" s="1"/>
  <c r="B8" i="5"/>
  <c r="B6" i="5"/>
  <c r="B4" i="5"/>
  <c r="B2" i="5" l="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05"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88" i="1"/>
  <c r="B25" i="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<sst xmlns="http://schemas.openxmlformats.org/spreadsheetml/2006/main" count="3011" uniqueCount="424">
  <si>
    <t>Customer ID</t>
  </si>
  <si>
    <t>First Name</t>
  </si>
  <si>
    <t>Last Name</t>
  </si>
  <si>
    <t>Age</t>
  </si>
  <si>
    <t>Gender</t>
  </si>
  <si>
    <t>Account Type</t>
  </si>
  <si>
    <t>Loan Status</t>
  </si>
  <si>
    <t>Loan Amount</t>
  </si>
  <si>
    <t>Credit Score</t>
  </si>
  <si>
    <t>Investment Type</t>
  </si>
  <si>
    <t>Credit Card Offers</t>
  </si>
  <si>
    <t>Online Banking Status</t>
  </si>
  <si>
    <t>John</t>
  </si>
  <si>
    <t>Doe</t>
  </si>
  <si>
    <t>M</t>
  </si>
  <si>
    <t>Checking</t>
  </si>
  <si>
    <t>No</t>
  </si>
  <si>
    <t>Stocks</t>
  </si>
  <si>
    <t>Active</t>
  </si>
  <si>
    <t>Jane</t>
  </si>
  <si>
    <t>Smith</t>
  </si>
  <si>
    <t>F</t>
  </si>
  <si>
    <t>Savings</t>
  </si>
  <si>
    <t>Yes</t>
  </si>
  <si>
    <t>Bonds</t>
  </si>
  <si>
    <t>Inactive</t>
  </si>
  <si>
    <t>Emily</t>
  </si>
  <si>
    <t>Johnson</t>
  </si>
  <si>
    <t>Mutual Funds</t>
  </si>
  <si>
    <t>Michael</t>
  </si>
  <si>
    <t>Brown</t>
  </si>
  <si>
    <t>Real Estate</t>
  </si>
  <si>
    <t>Sarah</t>
  </si>
  <si>
    <t>Davis</t>
  </si>
  <si>
    <t>William</t>
  </si>
  <si>
    <t>Martinez</t>
  </si>
  <si>
    <t>Olivia</t>
  </si>
  <si>
    <t>Lee</t>
  </si>
  <si>
    <t>James</t>
  </si>
  <si>
    <t>Wilson</t>
  </si>
  <si>
    <t>Ava</t>
  </si>
  <si>
    <t>Anderson</t>
  </si>
  <si>
    <t>Ethan</t>
  </si>
  <si>
    <t>Thomas</t>
  </si>
  <si>
    <t>Isabella</t>
  </si>
  <si>
    <t>White</t>
  </si>
  <si>
    <t>Benjamin</t>
  </si>
  <si>
    <t>Harris</t>
  </si>
  <si>
    <t>Mia</t>
  </si>
  <si>
    <t>Clark</t>
  </si>
  <si>
    <t>Jacob</t>
  </si>
  <si>
    <t>Lewis</t>
  </si>
  <si>
    <t>Charlotte</t>
  </si>
  <si>
    <t>Walker</t>
  </si>
  <si>
    <t>Daniel</t>
  </si>
  <si>
    <t>Hall</t>
  </si>
  <si>
    <t>Amelia</t>
  </si>
  <si>
    <t>Allen</t>
  </si>
  <si>
    <t>Lucas</t>
  </si>
  <si>
    <t>Young</t>
  </si>
  <si>
    <t>Harper</t>
  </si>
  <si>
    <t>King</t>
  </si>
  <si>
    <t>Alexander</t>
  </si>
  <si>
    <t>Scott</t>
  </si>
  <si>
    <t>Sophia</t>
  </si>
  <si>
    <t>Green</t>
  </si>
  <si>
    <t>Henry</t>
  </si>
  <si>
    <t>Adams</t>
  </si>
  <si>
    <t>Ella</t>
  </si>
  <si>
    <t>Baker</t>
  </si>
  <si>
    <t>Jack</t>
  </si>
  <si>
    <t>Nelson</t>
  </si>
  <si>
    <t>Grace</t>
  </si>
  <si>
    <t>Carter</t>
  </si>
  <si>
    <t>Mitchell</t>
  </si>
  <si>
    <t>Lily</t>
  </si>
  <si>
    <t>Roberts</t>
  </si>
  <si>
    <t>Natalie</t>
  </si>
  <si>
    <t>Thompson</t>
  </si>
  <si>
    <t>Oliver</t>
  </si>
  <si>
    <t xml:space="preserve">Premium </t>
  </si>
  <si>
    <t xml:space="preserve">standard </t>
  </si>
  <si>
    <t xml:space="preserve">none </t>
  </si>
  <si>
    <t>Q1</t>
  </si>
  <si>
    <t>Q2</t>
  </si>
  <si>
    <t>Q3</t>
  </si>
  <si>
    <t>Q4</t>
  </si>
  <si>
    <t>Q5</t>
  </si>
  <si>
    <t>Q6</t>
  </si>
  <si>
    <t>Q7</t>
  </si>
  <si>
    <t>Q8</t>
  </si>
  <si>
    <t>Q9</t>
  </si>
  <si>
    <t>Q10</t>
  </si>
  <si>
    <t>Q11</t>
  </si>
  <si>
    <t>Q12</t>
  </si>
  <si>
    <t>Q13</t>
  </si>
  <si>
    <t>Q14</t>
  </si>
  <si>
    <t>Account Balance$</t>
  </si>
  <si>
    <t>Annual Income$</t>
  </si>
  <si>
    <t>Determine the 75th percentile for both annual income and account balance.</t>
  </si>
  <si>
    <t>Easy</t>
  </si>
  <si>
    <t>MEDIUM</t>
  </si>
  <si>
    <t>HARD</t>
  </si>
  <si>
    <t>How many female account holders have invested in mutual funds and have a credit score above 500? Also, what is the highest account balance among them?</t>
  </si>
  <si>
    <t>Identify account holders who are over 40, have a credit score below 300, and an annual income under $8,000. These individuals will not be offered new credit cards. Mark these account holders as "Not Eligible."</t>
  </si>
  <si>
    <t>What is the minimum account balance for female customers who are inactive in online banking? Additionally, how many females use online banking, and how many do not?</t>
  </si>
  <si>
    <t>For male account holders with checking accounts, whose balance is over $2,000 and credit score above 500, categorize them as "Good" consumers. All others should be categorized as "Bad."</t>
  </si>
  <si>
    <t>Your manager needs a report on the account holder with the highest income who has a savings account and is eligible for a credit card.</t>
  </si>
  <si>
    <t>In the market, there are very few consumers who accept every offer. Create a new column to categorize consumers as "In Progress" if they have accepted a credit card offer, made an investment, and are active in online banking.</t>
  </si>
  <si>
    <t>Using the conditions in question 6 above, find the second smallest annual income among the consumers.</t>
  </si>
  <si>
    <t>Mutual fund investment is a popular trend. Can you calculate the 20th percentile of annual income for individuals who have invested in mutual funds?</t>
  </si>
  <si>
    <t>To understand current investment trends, identify the highest account balance for each type of investment.</t>
  </si>
  <si>
    <t>To analyze credit card offers, determine the highest annual income invested in each type of credit card. Also, how many people haven’t participated in any offer?</t>
  </si>
  <si>
    <t>Determine how many female account holders are in the bank and identify the second smallest annual income among them.</t>
  </si>
  <si>
    <t>How many account holders have savings accounts, and how many of them have an annual income above the median? Also, what is the highest annual income in this group?</t>
  </si>
  <si>
    <t>Calculate the total annual income for account holders with savings accounts, and identify the largest balance in this category.</t>
  </si>
  <si>
    <t>How many account holders invest in stocks, use a standard credit card, and have the lowest loan amount? Also, what is that lowest loan amount?</t>
  </si>
  <si>
    <t>Mary</t>
  </si>
  <si>
    <t>Patricia</t>
  </si>
  <si>
    <t>Williams</t>
  </si>
  <si>
    <t>Robert</t>
  </si>
  <si>
    <t>Jones</t>
  </si>
  <si>
    <t>Jennifer</t>
  </si>
  <si>
    <t>Miller</t>
  </si>
  <si>
    <t>Linda</t>
  </si>
  <si>
    <t>Garcia</t>
  </si>
  <si>
    <t>Rodriguez</t>
  </si>
  <si>
    <t>Elizabeth</t>
  </si>
  <si>
    <t>David</t>
  </si>
  <si>
    <t>Barbara</t>
  </si>
  <si>
    <t>Richard</t>
  </si>
  <si>
    <t>Taylor</t>
  </si>
  <si>
    <t>Susan</t>
  </si>
  <si>
    <t>Joseph</t>
  </si>
  <si>
    <t>Hernandez</t>
  </si>
  <si>
    <t>Jessica</t>
  </si>
  <si>
    <t>Moore</t>
  </si>
  <si>
    <t>Martin</t>
  </si>
  <si>
    <t>Jackson</t>
  </si>
  <si>
    <t>Charles</t>
  </si>
  <si>
    <t>Karen</t>
  </si>
  <si>
    <t>Christopher</t>
  </si>
  <si>
    <t>Nancy</t>
  </si>
  <si>
    <t>Lisa</t>
  </si>
  <si>
    <t>Matthew</t>
  </si>
  <si>
    <t>Robinson</t>
  </si>
  <si>
    <t>Margaret</t>
  </si>
  <si>
    <t>Anthony</t>
  </si>
  <si>
    <t>Perez</t>
  </si>
  <si>
    <t>Sandra</t>
  </si>
  <si>
    <t>Mark</t>
  </si>
  <si>
    <t>Donna</t>
  </si>
  <si>
    <t>Paul</t>
  </si>
  <si>
    <t>Carol</t>
  </si>
  <si>
    <t>Wright</t>
  </si>
  <si>
    <t>Steven</t>
  </si>
  <si>
    <t>Kimberly</t>
  </si>
  <si>
    <t>Andrew</t>
  </si>
  <si>
    <t>Michelle</t>
  </si>
  <si>
    <t>Joshua</t>
  </si>
  <si>
    <t>Gonzalez</t>
  </si>
  <si>
    <t>Deborah</t>
  </si>
  <si>
    <t>Kevin</t>
  </si>
  <si>
    <t>Brian</t>
  </si>
  <si>
    <t>Amanda</t>
  </si>
  <si>
    <t>George</t>
  </si>
  <si>
    <t>Turner</t>
  </si>
  <si>
    <t>Laura</t>
  </si>
  <si>
    <t>Phillips</t>
  </si>
  <si>
    <t>Edward</t>
  </si>
  <si>
    <t>Campbell</t>
  </si>
  <si>
    <t>Melissa</t>
  </si>
  <si>
    <t>Parker</t>
  </si>
  <si>
    <t>Donald</t>
  </si>
  <si>
    <t>Evans</t>
  </si>
  <si>
    <t>Rebecca</t>
  </si>
  <si>
    <t>Edwards</t>
  </si>
  <si>
    <t>Kenneth</t>
  </si>
  <si>
    <t>Collins</t>
  </si>
  <si>
    <t>Stephanie</t>
  </si>
  <si>
    <t>Stewart</t>
  </si>
  <si>
    <t>Ronald</t>
  </si>
  <si>
    <t>Morris</t>
  </si>
  <si>
    <t>Amy</t>
  </si>
  <si>
    <t>Rogers</t>
  </si>
  <si>
    <t>Timothy</t>
  </si>
  <si>
    <t>Reed</t>
  </si>
  <si>
    <t>Angela</t>
  </si>
  <si>
    <t>Cook</t>
  </si>
  <si>
    <t>Jason</t>
  </si>
  <si>
    <t>Morgan</t>
  </si>
  <si>
    <t>Sharon</t>
  </si>
  <si>
    <t>Bell</t>
  </si>
  <si>
    <t>Jeffery</t>
  </si>
  <si>
    <t>Murphy</t>
  </si>
  <si>
    <t>Anna</t>
  </si>
  <si>
    <t>Bailey</t>
  </si>
  <si>
    <t>Ryan</t>
  </si>
  <si>
    <t>Rivera</t>
  </si>
  <si>
    <t>Rachel</t>
  </si>
  <si>
    <t>Cooper</t>
  </si>
  <si>
    <t>Gary</t>
  </si>
  <si>
    <t>Richardson</t>
  </si>
  <si>
    <t>Samantha</t>
  </si>
  <si>
    <t>Cox</t>
  </si>
  <si>
    <t>Howard</t>
  </si>
  <si>
    <t>Heather</t>
  </si>
  <si>
    <t>Ward</t>
  </si>
  <si>
    <t>Nicholas</t>
  </si>
  <si>
    <t>Torres</t>
  </si>
  <si>
    <t>Megan</t>
  </si>
  <si>
    <t>Peterson</t>
  </si>
  <si>
    <t>Eric</t>
  </si>
  <si>
    <t>Gray</t>
  </si>
  <si>
    <t>Shirley</t>
  </si>
  <si>
    <t>Ramirez</t>
  </si>
  <si>
    <t>Jonathan</t>
  </si>
  <si>
    <t>Christine</t>
  </si>
  <si>
    <t>Watson</t>
  </si>
  <si>
    <t>Larry</t>
  </si>
  <si>
    <t>Brooks</t>
  </si>
  <si>
    <t>Sanders</t>
  </si>
  <si>
    <t>Justin</t>
  </si>
  <si>
    <t>Price</t>
  </si>
  <si>
    <t>Betty</t>
  </si>
  <si>
    <t>Bennett</t>
  </si>
  <si>
    <t>Raymond</t>
  </si>
  <si>
    <t>Wood</t>
  </si>
  <si>
    <t>Dorothy</t>
  </si>
  <si>
    <t>Barnes</t>
  </si>
  <si>
    <t>Ross</t>
  </si>
  <si>
    <t>Henderson</t>
  </si>
  <si>
    <t>Adam</t>
  </si>
  <si>
    <t>Coleman</t>
  </si>
  <si>
    <t>Julie</t>
  </si>
  <si>
    <t>Jenkins</t>
  </si>
  <si>
    <t>Harold</t>
  </si>
  <si>
    <t>Perry</t>
  </si>
  <si>
    <t>Evelyn</t>
  </si>
  <si>
    <t>Powell</t>
  </si>
  <si>
    <t>Long</t>
  </si>
  <si>
    <t>Lauren</t>
  </si>
  <si>
    <t>Patterson</t>
  </si>
  <si>
    <t>Frank</t>
  </si>
  <si>
    <t>Hughes</t>
  </si>
  <si>
    <t>Kathryn</t>
  </si>
  <si>
    <t>Flores</t>
  </si>
  <si>
    <t>Patrick</t>
  </si>
  <si>
    <t>Washington</t>
  </si>
  <si>
    <t>Nicole</t>
  </si>
  <si>
    <t>Butler</t>
  </si>
  <si>
    <t>Dennis</t>
  </si>
  <si>
    <t>Simmons</t>
  </si>
  <si>
    <t>Kathy</t>
  </si>
  <si>
    <t>Foster</t>
  </si>
  <si>
    <t>Jerry</t>
  </si>
  <si>
    <t>Gonzales</t>
  </si>
  <si>
    <t>Brenda</t>
  </si>
  <si>
    <t>Bryant</t>
  </si>
  <si>
    <t>Ruth</t>
  </si>
  <si>
    <t>Russell</t>
  </si>
  <si>
    <t>Carl</t>
  </si>
  <si>
    <t>Griffin</t>
  </si>
  <si>
    <t>Maria</t>
  </si>
  <si>
    <t>Diaz</t>
  </si>
  <si>
    <t>Wayne</t>
  </si>
  <si>
    <t>Hayes</t>
  </si>
  <si>
    <t>Marilyn</t>
  </si>
  <si>
    <t>Myers</t>
  </si>
  <si>
    <t>Nathan</t>
  </si>
  <si>
    <t>Ford</t>
  </si>
  <si>
    <t>Judith</t>
  </si>
  <si>
    <t>Hamilton</t>
  </si>
  <si>
    <t>Melanie</t>
  </si>
  <si>
    <t>Shane</t>
  </si>
  <si>
    <t>Sophie</t>
  </si>
  <si>
    <t>Cole</t>
  </si>
  <si>
    <t>Hannah</t>
  </si>
  <si>
    <t>Derek</t>
  </si>
  <si>
    <t>Kelly</t>
  </si>
  <si>
    <t>Teresa</t>
  </si>
  <si>
    <t>Jeremy</t>
  </si>
  <si>
    <t>Wendy</t>
  </si>
  <si>
    <t>Keith</t>
  </si>
  <si>
    <t>Stone</t>
  </si>
  <si>
    <t>Alice</t>
  </si>
  <si>
    <t>Craig</t>
  </si>
  <si>
    <t>Anita</t>
  </si>
  <si>
    <t>Julia</t>
  </si>
  <si>
    <t>Brad</t>
  </si>
  <si>
    <t>Walter</t>
  </si>
  <si>
    <t>Gina</t>
  </si>
  <si>
    <t>Carrie</t>
  </si>
  <si>
    <t>Joel</t>
  </si>
  <si>
    <t>Gilbert</t>
  </si>
  <si>
    <t>Austin</t>
  </si>
  <si>
    <t>Sylvia</t>
  </si>
  <si>
    <t>Zachary</t>
  </si>
  <si>
    <t>Bruce</t>
  </si>
  <si>
    <t>Claire</t>
  </si>
  <si>
    <t>Philip</t>
  </si>
  <si>
    <t>Bradley</t>
  </si>
  <si>
    <t>Emma</t>
  </si>
  <si>
    <t>Douglas</t>
  </si>
  <si>
    <t>Vicki</t>
  </si>
  <si>
    <t>Kurt</t>
  </si>
  <si>
    <t>Shawn</t>
  </si>
  <si>
    <t>Erin</t>
  </si>
  <si>
    <t>Monica</t>
  </si>
  <si>
    <t>Danielle</t>
  </si>
  <si>
    <t>Denise</t>
  </si>
  <si>
    <t>Theresa</t>
  </si>
  <si>
    <t>Debra</t>
  </si>
  <si>
    <t>Greg</t>
  </si>
  <si>
    <t>Janet</t>
  </si>
  <si>
    <t>West</t>
  </si>
  <si>
    <t>Alex</t>
  </si>
  <si>
    <t>Jacqueline</t>
  </si>
  <si>
    <t xml:space="preserve">Interest rate </t>
  </si>
  <si>
    <t>No loan</t>
  </si>
  <si>
    <t>As a junior manager, can you calculate the average annual income?</t>
  </si>
  <si>
    <t>Can you find the median of the bank account balances to help understand the middle value of the data?</t>
  </si>
  <si>
    <t>Your manager asked you to find the 5th smallest loan amount. Can you find the answer?</t>
  </si>
  <si>
    <t>Your task is to determine the 3rd highest credit score ?</t>
  </si>
  <si>
    <t>Before approving loans, the bank wants to check which credit score appears the most often. Can you find the credit score with the highest frequency</t>
  </si>
  <si>
    <t>You need to prepare a report on the number of females who are actively involved. To do this, find out how many account holders in your bank are female, over 30 years old, use online banking, and have a credit card.</t>
  </si>
  <si>
    <t>Take the annual income and divide it by the loan amount. If there is any problem while doing this, write 'Division Error' in a new column.</t>
  </si>
  <si>
    <t>In the 'Division Error' column, use a function to check if the values in the cells are numbers or not.</t>
  </si>
  <si>
    <t>Find out which consumers have an odd age and which have an even age. List these in separate columns</t>
  </si>
  <si>
    <t>What is the lowest account balance among customers who have a premium credit card?</t>
  </si>
  <si>
    <t>The bank wants to offer a new loan to people with good credit scores. Rank the people from highest to lowest credit score.</t>
  </si>
  <si>
    <t>Your team wants to know how many account holder we have so far. Can you figure out 1.)how many accounts there are in the dataset? 2.)what is the smallest account balance so far?</t>
  </si>
  <si>
    <t>As a banker, you need to give your manager a report .This report should include-the total annual income and account balance. Additionally, identify the maximum figure for both annual income and account balance.</t>
  </si>
  <si>
    <t>In the digital world, many people use online banking. You need to find out how many people have an active banking status and what their 50th percentile income will be.</t>
  </si>
  <si>
    <t>Your bank manager is curious to know how many people have taken out loans from the bank and what is the highest loan amount anyone has taken. Can you find this information?</t>
  </si>
  <si>
    <t>What is the 3rd smallest account balance among account holders who haven't taken out a loan?</t>
  </si>
  <si>
    <t>What is the fourth highest account balance in your bank for customers who have a premium membership?</t>
  </si>
  <si>
    <t>Find out how many women have bank accounts and what the second lowest annual income is among them</t>
  </si>
  <si>
    <t>To prepare the account balance report, first find the most common balance amount. Then, calculate the average of that column.</t>
  </si>
  <si>
    <t>To make the net banking report, first find out how many people use online banking. Then, group them into two categories: 'Good' for those who are active users and 'Bad' for those who are not active.</t>
  </si>
  <si>
    <t>Check for errors in the new 'Division Error' column. Use the ISERROR function to see if there are any mistakes.</t>
  </si>
  <si>
    <t>Use the right function to see if there's any text in the 'Interest rate' column.</t>
  </si>
  <si>
    <t>To analyze total deposit of the given dataset , first calculate the total annual income. Then, determine the 40th percentile of the annual income for people with odd ages.</t>
  </si>
  <si>
    <t>To evaluate customer investment, find out how many customers have an account balance over $5,000 and an annual income greater than $7,000. Label these customers as 'Active Consumers.</t>
  </si>
  <si>
    <t>Investing in a real estate is a good option. Can u determine how many people are investing in real estate, the total amount invested so far, and the highest amount of money invested by any one person.</t>
  </si>
  <si>
    <t>ASSIGNMENT INSTRUCTIONS :-</t>
  </si>
  <si>
    <t>Student should use different sheet for answering each topic for eg-Easy questions can be answered in one sheet &amp; then Medium questions can be answered in another one, don't forget to name that sheet too.</t>
  </si>
  <si>
    <t>Student should provide question number above the solution. For eg- Easy- Answer 1</t>
  </si>
  <si>
    <t>Student should provide all the solution sheet in sequence.</t>
  </si>
  <si>
    <t>Ans 1</t>
  </si>
  <si>
    <t>Ans 2</t>
  </si>
  <si>
    <t>Ans 3</t>
  </si>
  <si>
    <t>Ans 4</t>
  </si>
  <si>
    <t>Ans 5</t>
  </si>
  <si>
    <t>Ans 6</t>
  </si>
  <si>
    <t>Ans 7</t>
  </si>
  <si>
    <t>AI/LA</t>
  </si>
  <si>
    <t>refer to dataset sheet column number P (AI/LA)</t>
  </si>
  <si>
    <t>Ans 8</t>
  </si>
  <si>
    <t>Please refer to dataset column Q (CheckNum)</t>
  </si>
  <si>
    <t>Check Num</t>
  </si>
  <si>
    <t>ODD EVEN check</t>
  </si>
  <si>
    <t>Ans 9</t>
  </si>
  <si>
    <t>Please refer to dataset column R (ODD Even Check)</t>
  </si>
  <si>
    <t>Ans 10</t>
  </si>
  <si>
    <t>Ans 11</t>
  </si>
  <si>
    <t>Ans 12</t>
  </si>
  <si>
    <t xml:space="preserve">1. Total Dataset </t>
  </si>
  <si>
    <t>2. Smalest Account Balance</t>
  </si>
  <si>
    <t>Ans 13</t>
  </si>
  <si>
    <t>Total Annual Income</t>
  </si>
  <si>
    <t>Total Account Balance</t>
  </si>
  <si>
    <t>Max Annual Income</t>
  </si>
  <si>
    <t>Max Account Balance</t>
  </si>
  <si>
    <t>50 % annual Income</t>
  </si>
  <si>
    <t>total active user</t>
  </si>
  <si>
    <t>People Taken Loan</t>
  </si>
  <si>
    <t>Highest loan amount</t>
  </si>
  <si>
    <t>Women have Bank account</t>
  </si>
  <si>
    <r>
      <t>2</t>
    </r>
    <r>
      <rPr>
        <vertAlign val="superscript"/>
        <sz val="11"/>
        <color theme="1"/>
        <rFont val="Calibri"/>
        <family val="2"/>
        <scheme val="minor"/>
      </rPr>
      <t xml:space="preserve">nd </t>
    </r>
    <r>
      <rPr>
        <sz val="11"/>
        <color theme="1"/>
        <rFont val="Calibri"/>
        <family val="2"/>
        <scheme val="minor"/>
      </rPr>
      <t xml:space="preserve">lowest annual income </t>
    </r>
    <r>
      <rPr>
        <b/>
        <sz val="11"/>
        <color theme="1"/>
        <rFont val="Calibri"/>
        <family val="2"/>
        <scheme val="minor"/>
      </rPr>
      <t>UNIQUE</t>
    </r>
  </si>
  <si>
    <t>Common balance amount</t>
  </si>
  <si>
    <t>Average of Account Balance</t>
  </si>
  <si>
    <t>Annual Income 75%</t>
  </si>
  <si>
    <t>75% of Account balance</t>
  </si>
  <si>
    <t>Rank</t>
  </si>
  <si>
    <t>Please refer to dataset column S (Rank)</t>
  </si>
  <si>
    <t>Online Banking User</t>
  </si>
  <si>
    <t>Good(Active user</t>
  </si>
  <si>
    <t>Bad(Inactive User)</t>
  </si>
  <si>
    <t>Good User</t>
  </si>
  <si>
    <t>Bad User</t>
  </si>
  <si>
    <t>Que 10</t>
  </si>
  <si>
    <t>Please refer column V (Que 10)</t>
  </si>
  <si>
    <t>Total annual income</t>
  </si>
  <si>
    <t>40th percentile of the annual income</t>
  </si>
  <si>
    <t xml:space="preserve">How many people are investing in real state </t>
  </si>
  <si>
    <t>Total amount invested in Real State</t>
  </si>
  <si>
    <t>Highest amount invested in Real State</t>
  </si>
  <si>
    <t>Hard Q2</t>
  </si>
  <si>
    <r>
      <t xml:space="preserve">Please refer W column </t>
    </r>
    <r>
      <rPr>
        <b/>
        <sz val="11"/>
        <color theme="1"/>
        <rFont val="Calibri"/>
        <family val="2"/>
        <scheme val="minor"/>
      </rPr>
      <t>(Hard Q2)</t>
    </r>
  </si>
  <si>
    <t>Female use online banking</t>
  </si>
  <si>
    <t>Female don’t use online banking</t>
  </si>
  <si>
    <t>Hard Q4</t>
  </si>
  <si>
    <r>
      <t>Please refer column X</t>
    </r>
    <r>
      <rPr>
        <b/>
        <sz val="11"/>
        <color theme="1"/>
        <rFont val="Calibri"/>
        <family val="2"/>
        <scheme val="minor"/>
      </rPr>
      <t xml:space="preserve"> (Hard Q4)</t>
    </r>
  </si>
  <si>
    <t>Hard Q6</t>
  </si>
  <si>
    <r>
      <t>Please refer Column Y</t>
    </r>
    <r>
      <rPr>
        <b/>
        <sz val="11"/>
        <color theme="1"/>
        <rFont val="Calibri"/>
        <family val="2"/>
        <scheme val="minor"/>
      </rPr>
      <t xml:space="preserve"> (Hard Q6)</t>
    </r>
  </si>
  <si>
    <t>And 7</t>
  </si>
  <si>
    <t>Highest balance for</t>
  </si>
  <si>
    <t>Real State</t>
  </si>
  <si>
    <t>Highest annual income for credit card</t>
  </si>
  <si>
    <t>Premium</t>
  </si>
  <si>
    <t>Standard</t>
  </si>
  <si>
    <t>People who have not participated in offer</t>
  </si>
  <si>
    <t>Female account holder in Bank</t>
  </si>
  <si>
    <t>Second Smallest annual income</t>
  </si>
  <si>
    <t>Number of Saving account</t>
  </si>
  <si>
    <t>Annual income above Median</t>
  </si>
  <si>
    <t>Highest income in this catogory</t>
  </si>
  <si>
    <t>Saving Account total annual income</t>
  </si>
  <si>
    <t>Largest balance in saving account</t>
  </si>
  <si>
    <t>Ans 14</t>
  </si>
  <si>
    <t>Lowest loan amount</t>
  </si>
  <si>
    <t>Medium Q9</t>
  </si>
  <si>
    <t>please refer column Z (medium Q9)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</si>
</sst>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20"/>
      <color theme="1"/>
      <name val="Calibri"/>
      <family val="2"/>
      <scheme val="minor"/>
    </font>
    <font>
      <b/>
      <sz val="18"/>
      <color theme="1"/>
      <name val="Calibri"/>
      <family val="2"/>
      <scheme val="minor"/>
    </font>
    <font>
      <sz val="11"/>
      <color theme="1"/>
      <name val="Aptos"/>
      <family val="2"/>
    </font>
    <font>
      <b/>
      <sz val="16"/>
      <color theme="1"/>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vertAlign val="superscrip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horizontal="center" vertical="center"/>
    </xf>
    <xf numFmtId="0" fontId="2" fillId="0" borderId="0" xfId="0" applyFont="1"/>
    <xf numFmtId="0" fontId="3" fillId="0" borderId="0" xfId="0" applyFont="1"/>
    <xf numFmtId="0" fontId="4" fillId="0" borderId="0" xfId="0" applyFont="1" applyAlignment="1">
      <alignment vertical="center"/>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5" fillId="0" borderId="0" xfId="0" applyFont="1"/>
    <xf numFmtId="0" fontId="6" fillId="0" borderId="0" xfId="0" applyFont="1"/>
    <xf numFmtId="0" fontId="6" fillId="0" borderId="0" xfId="0" applyFont="1" applyAlignment="1">
      <alignment horizontal="center"/>
    </xf>
    <xf numFmtId="0" fontId="7" fillId="0" borderId="0" xfId="0" applyFont="1" applyAlignment="1">
      <alignment wrapText="1"/>
    </xf>
    <xf numFmtId="0" fontId="7" fillId="0" borderId="0" xfId="0" applyFont="1" applyAlignment="1">
      <alignment horizontal="center" wrapText="1"/>
    </xf>
    <xf numFmtId="0" fontId="0" fillId="0" borderId="0" xfId="0" applyAlignment="1">
      <alignment horizontal="center" vertical="top"/>
    </xf>
    <xf numFmtId="0" fontId="8" fillId="0" borderId="0" xfId="0" applyFont="1" applyAlignment="1">
      <alignment horizontal="center" vertical="top"/>
    </xf>
    <xf numFmtId="0" fontId="1" fillId="0" borderId="0" xfId="0" applyFont="1" applyAlignment="1">
      <alignment horizontal="center" vertical="top"/>
    </xf>
    <xf numFmtId="0" fontId="5" fillId="0" borderId="0" xfId="0" applyFont="1" applyAlignment="1">
      <alignment horizontal="center"/>
    </xf>
    <xf numFmtId="0" fontId="0" fillId="0" borderId="0" xfId="0" applyAlignment="1">
      <alignment horizontal="center"/>
    </xf>
    <xf numFmtId="0" fontId="1" fillId="0" borderId="0" xfId="0" applyFont="1" applyAlignment="1">
      <alignment horizontal="center" vertical="top"/>
    </xf>
    <xf numFmtId="0" fontId="0" fillId="0" borderId="0" xfId="0" applyAlignment="1">
      <alignment horizontal="center" vertical="top"/>
    </xf>
    <xf numFmtId="0" fontId="0" fillId="2" borderId="0" xfId="0"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75A48-2E15-4298-B56E-AE87CA2BDF5E}">
  <dimension ref="A1:Z351"/>
  <sheetViews>
    <sheetView topLeftCell="B1" zoomScaleNormal="90" workbookViewId="0">
      <selection activeCell="G20" sqref="G20"/>
    </sheetView>
  </sheetViews>
  <sheetFormatPr defaultRowHeight="14.4" x14ac:dyDescent="0.3"/>
  <cols>
    <col min="1" max="1" width="11.33203125" style="5" bestFit="1" customWidth="1"/>
    <col min="2" max="2" width="10.44140625" style="5" bestFit="1" customWidth="1"/>
    <col min="3" max="3" width="10.6640625" style="5" bestFit="1" customWidth="1"/>
    <col min="4" max="4" width="4.21875" style="5" bestFit="1" customWidth="1"/>
    <col min="5" max="5" width="7.109375" style="5" bestFit="1" customWidth="1"/>
    <col min="6" max="6" width="12.5546875" style="5" bestFit="1" customWidth="1"/>
    <col min="7" max="7" width="16.109375" style="5" bestFit="1" customWidth="1"/>
    <col min="8" max="8" width="14.88671875" style="5" bestFit="1" customWidth="1"/>
    <col min="9" max="9" width="10.77734375" style="5" bestFit="1" customWidth="1"/>
    <col min="10" max="10" width="12.44140625" style="5" bestFit="1" customWidth="1"/>
    <col min="11" max="11" width="11.109375" style="5" bestFit="1" customWidth="1"/>
    <col min="12" max="12" width="15.21875" style="5" bestFit="1" customWidth="1"/>
    <col min="13" max="13" width="16" style="5" bestFit="1" customWidth="1"/>
    <col min="14" max="14" width="19.5546875" style="5" bestFit="1" customWidth="1"/>
    <col min="15" max="15" width="11.6640625" style="5" bestFit="1" customWidth="1"/>
    <col min="16" max="16" width="12" bestFit="1" customWidth="1"/>
    <col min="17" max="17" width="10.6640625" bestFit="1" customWidth="1"/>
    <col min="18" max="18" width="15.21875" style="5" bestFit="1" customWidth="1"/>
    <col min="19" max="19" width="5.21875" bestFit="1" customWidth="1"/>
    <col min="20" max="20" width="15.5546875" bestFit="1" customWidth="1"/>
    <col min="21" max="21" width="16.5546875" bestFit="1" customWidth="1"/>
    <col min="22" max="22" width="6.88671875" bestFit="1" customWidth="1"/>
    <col min="23" max="24" width="7.77734375" bestFit="1" customWidth="1"/>
    <col min="25" max="25" width="9.88671875" bestFit="1" customWidth="1"/>
    <col min="26" max="26" width="10.6640625" customWidth="1"/>
  </cols>
  <sheetData>
    <row r="1" spans="1:26" x14ac:dyDescent="0.3">
      <c r="A1" s="1" t="s">
        <v>0</v>
      </c>
      <c r="B1" s="1" t="s">
        <v>1</v>
      </c>
      <c r="C1" s="1" t="s">
        <v>2</v>
      </c>
      <c r="D1" s="1" t="s">
        <v>3</v>
      </c>
      <c r="E1" s="1" t="s">
        <v>4</v>
      </c>
      <c r="F1" s="1" t="s">
        <v>5</v>
      </c>
      <c r="G1" s="1" t="s">
        <v>97</v>
      </c>
      <c r="H1" s="1" t="s">
        <v>98</v>
      </c>
      <c r="I1" s="1" t="s">
        <v>6</v>
      </c>
      <c r="J1" s="1" t="s">
        <v>7</v>
      </c>
      <c r="K1" s="1" t="s">
        <v>8</v>
      </c>
      <c r="L1" s="1" t="s">
        <v>9</v>
      </c>
      <c r="M1" s="1" t="s">
        <v>10</v>
      </c>
      <c r="N1" s="1" t="s">
        <v>11</v>
      </c>
      <c r="O1" s="1" t="s">
        <v>318</v>
      </c>
      <c r="P1" s="1" t="s">
        <v>356</v>
      </c>
      <c r="Q1" s="1" t="s">
        <v>360</v>
      </c>
      <c r="R1" s="1" t="s">
        <v>361</v>
      </c>
      <c r="S1" s="1" t="s">
        <v>384</v>
      </c>
      <c r="T1" s="1" t="s">
        <v>387</v>
      </c>
      <c r="U1" s="1" t="s">
        <v>388</v>
      </c>
      <c r="V1" s="1" t="s">
        <v>391</v>
      </c>
      <c r="W1" s="1" t="s">
        <v>398</v>
      </c>
      <c r="X1" s="1" t="s">
        <v>402</v>
      </c>
      <c r="Y1" s="1" t="s">
        <v>404</v>
      </c>
      <c r="Z1" s="1" t="s">
        <v>422</v>
      </c>
    </row>
    <row r="2" spans="1:26" x14ac:dyDescent="0.3">
      <c r="A2" s="6">
        <v>1</v>
      </c>
      <c r="B2" s="6" t="s">
        <v>12</v>
      </c>
      <c r="C2" s="6" t="s">
        <v>13</v>
      </c>
      <c r="D2" s="6">
        <v>44</v>
      </c>
      <c r="E2" s="6" t="s">
        <v>14</v>
      </c>
      <c r="F2" s="6" t="s">
        <v>15</v>
      </c>
      <c r="G2" s="6">
        <v>2500</v>
      </c>
      <c r="H2" s="6">
        <v>55000</v>
      </c>
      <c r="I2" s="6" t="s">
        <v>16</v>
      </c>
      <c r="J2" s="6">
        <v>0</v>
      </c>
      <c r="K2" s="6">
        <v>720</v>
      </c>
      <c r="L2" s="6" t="s">
        <v>17</v>
      </c>
      <c r="M2" s="6" t="s">
        <v>80</v>
      </c>
      <c r="N2" s="6" t="s">
        <v>18</v>
      </c>
      <c r="O2" s="5">
        <v>7</v>
      </c>
      <c r="P2" t="e" cm="1">
        <f t="array" ref="P2:P350">Dataset!H2:H350/Dataset!J2:J350</f>
        <v>#DIV/0!</v>
      </c>
      <c r="Q2" t="b" cm="1">
        <f t="array" ref="Q2:Q350">ISNUMBER(_xlfn.ANCHORARRAY(P2))</f>
        <v>0</v>
      </c>
      <c r="R2" s="5" t="str" cm="1">
        <f t="array" ref="R2:R350">IF(MOD(D2:D350,2)=0,"Even","Odd")</f>
        <v>Even</v>
      </c>
      <c r="S2">
        <f>_xlfn.RANK.EQ(K2,K2:K350,0)</f>
        <v>26</v>
      </c>
      <c r="T2" t="str" cm="1">
        <f t="array" ref="T2:T350">IF(N2:N350=N2,"Good","")</f>
        <v>Good</v>
      </c>
      <c r="U2" t="str" cm="1">
        <f t="array" ref="U2:U350">IF(N2:N350=N2,"","Bad")</f>
        <v/>
      </c>
      <c r="V2" t="b" cm="1">
        <f t="array" ref="V2:V350">ISTEXT(O2:O350)</f>
        <v>0</v>
      </c>
      <c r="W2" t="str" cm="1">
        <f t="array" ref="W2">IF(AND(D2:D350&gt;40, K2:K350&lt;300, H2:H350&lt;8000), "Not Eligible", "Eligible")</f>
        <v>Eligible</v>
      </c>
      <c r="X2" t="str">
        <f>IF(AND(E2="M",K2&gt;500,G2&gt;2000),"Good", "Bad")</f>
        <v>Good</v>
      </c>
      <c r="Y2" t="str">
        <f>IF(AND(M2&lt;&gt;"none",N2="Active"),"In Progress", "")</f>
        <v>In Progress</v>
      </c>
      <c r="Z2" t="b" cm="1">
        <f t="array" ref="Z2:Z350">ISERROR(_xlfn.ANCHORARRAY(P2))</f>
        <v>1</v>
      </c>
    </row>
    <row r="3" spans="1:26" x14ac:dyDescent="0.3">
      <c r="A3" s="6">
        <v>2</v>
      </c>
      <c r="B3" s="6" t="s">
        <v>19</v>
      </c>
      <c r="C3" s="6" t="s">
        <v>20</v>
      </c>
      <c r="D3" s="6">
        <v>29</v>
      </c>
      <c r="E3" s="6" t="s">
        <v>21</v>
      </c>
      <c r="F3" s="6" t="s">
        <v>22</v>
      </c>
      <c r="G3" s="6">
        <v>8000</v>
      </c>
      <c r="H3" s="6">
        <v>62000</v>
      </c>
      <c r="I3" s="6" t="s">
        <v>23</v>
      </c>
      <c r="J3" s="6">
        <v>15000</v>
      </c>
      <c r="K3" s="6">
        <v>680</v>
      </c>
      <c r="L3" s="6" t="s">
        <v>24</v>
      </c>
      <c r="M3" s="6" t="s">
        <v>81</v>
      </c>
      <c r="N3" s="6" t="s">
        <v>25</v>
      </c>
      <c r="O3" s="5">
        <v>5</v>
      </c>
      <c r="P3">
        <v>4.1333333333333337</v>
      </c>
      <c r="Q3" t="b">
        <v>1</v>
      </c>
      <c r="R3" s="5" t="str">
        <v>Odd</v>
      </c>
      <c r="S3">
        <f t="shared" ref="S3:S66" si="0">_xlfn.RANK.EQ(K3,K3:K351,0)</f>
        <v>253</v>
      </c>
      <c r="T3" t="str">
        <v/>
      </c>
      <c r="U3" t="str">
        <v>Bad</v>
      </c>
      <c r="V3" t="b">
        <v>0</v>
      </c>
      <c r="W3" t="str" cm="1">
        <f t="array" ref="W3">IF(AND(D3:D351&gt;40, K3:K351&lt;300, H3:H351&lt;8000), "Not Eligible", "Eligible")</f>
        <v>Eligible</v>
      </c>
      <c r="X3" t="str">
        <f t="shared" ref="X3:X66" si="1">IF(AND(E3="M",K3&gt;500,G3&gt;2000),"Good", "Bad")</f>
        <v>Bad</v>
      </c>
      <c r="Y3" t="str">
        <f t="shared" ref="Y3:Y66" si="2">IF(AND(M3&lt;&gt;"none",N3="Active"),"In Progress", "")</f>
        <v/>
      </c>
      <c r="Z3" t="b">
        <v>0</v>
      </c>
    </row>
    <row r="4" spans="1:26" x14ac:dyDescent="0.3">
      <c r="A4" s="6">
        <v>3</v>
      </c>
      <c r="B4" s="6" t="s">
        <v>26</v>
      </c>
      <c r="C4" s="6" t="s">
        <v>27</v>
      </c>
      <c r="D4" s="6">
        <v>45</v>
      </c>
      <c r="E4" s="6" t="s">
        <v>21</v>
      </c>
      <c r="F4" s="6" t="s">
        <v>15</v>
      </c>
      <c r="G4" s="6">
        <v>12000</v>
      </c>
      <c r="H4" s="6">
        <v>75000</v>
      </c>
      <c r="I4" s="6" t="s">
        <v>16</v>
      </c>
      <c r="J4" s="6">
        <v>0</v>
      </c>
      <c r="K4" s="6">
        <v>750</v>
      </c>
      <c r="L4" s="6" t="s">
        <v>28</v>
      </c>
      <c r="M4" s="6" t="s">
        <v>82</v>
      </c>
      <c r="N4" s="6" t="s">
        <v>18</v>
      </c>
      <c r="O4" s="5">
        <v>3</v>
      </c>
      <c r="P4" t="e">
        <v>#DIV/0!</v>
      </c>
      <c r="Q4" t="b">
        <v>0</v>
      </c>
      <c r="R4" s="5" t="str">
        <v>Odd</v>
      </c>
      <c r="S4">
        <f t="shared" si="0"/>
        <v>1</v>
      </c>
      <c r="T4" t="str">
        <v>Good</v>
      </c>
      <c r="U4" t="str">
        <v/>
      </c>
      <c r="V4" t="b">
        <v>0</v>
      </c>
      <c r="W4" t="str" cm="1">
        <f t="array" ref="W4">IF(AND(D4:D352&gt;40, K4:K352&lt;300, H4:H352&lt;8000), "Not Eligible", "Eligible")</f>
        <v>Eligible</v>
      </c>
      <c r="X4" t="str">
        <f t="shared" si="1"/>
        <v>Bad</v>
      </c>
      <c r="Y4" t="str">
        <f t="shared" si="2"/>
        <v>In Progress</v>
      </c>
      <c r="Z4" t="b">
        <v>1</v>
      </c>
    </row>
    <row r="5" spans="1:26" x14ac:dyDescent="0.3">
      <c r="A5" s="6">
        <v>4</v>
      </c>
      <c r="B5" s="6" t="s">
        <v>29</v>
      </c>
      <c r="C5" s="6" t="s">
        <v>30</v>
      </c>
      <c r="D5" s="6">
        <v>52</v>
      </c>
      <c r="E5" s="6" t="s">
        <v>14</v>
      </c>
      <c r="F5" s="6" t="s">
        <v>22</v>
      </c>
      <c r="G5" s="6">
        <v>3000</v>
      </c>
      <c r="H5" s="6">
        <v>48000</v>
      </c>
      <c r="I5" s="6" t="s">
        <v>23</v>
      </c>
      <c r="J5" s="6">
        <v>5000</v>
      </c>
      <c r="K5" s="6">
        <v>690</v>
      </c>
      <c r="L5" s="6" t="s">
        <v>31</v>
      </c>
      <c r="M5" s="6" t="s">
        <v>80</v>
      </c>
      <c r="N5" s="6" t="s">
        <v>18</v>
      </c>
      <c r="O5" s="5">
        <v>3</v>
      </c>
      <c r="P5">
        <v>9.6</v>
      </c>
      <c r="Q5" t="b">
        <v>1</v>
      </c>
      <c r="R5" s="5" t="str">
        <v>Even</v>
      </c>
      <c r="S5">
        <f t="shared" si="0"/>
        <v>192</v>
      </c>
      <c r="T5" t="str">
        <v>Good</v>
      </c>
      <c r="U5" t="str">
        <v/>
      </c>
      <c r="V5" t="b">
        <v>0</v>
      </c>
      <c r="W5" t="str" cm="1">
        <f t="array" ref="W5">IF(AND(D5:D353&gt;40, K5:K353&lt;300, H5:H353&lt;8000), "Not Eligible", "Eligible")</f>
        <v>Eligible</v>
      </c>
      <c r="X5" t="str">
        <f t="shared" si="1"/>
        <v>Good</v>
      </c>
      <c r="Y5" t="str">
        <f t="shared" si="2"/>
        <v>In Progress</v>
      </c>
      <c r="Z5" t="b">
        <v>0</v>
      </c>
    </row>
    <row r="6" spans="1:26" x14ac:dyDescent="0.3">
      <c r="A6" s="6">
        <v>5</v>
      </c>
      <c r="B6" s="6" t="s">
        <v>32</v>
      </c>
      <c r="C6" s="6" t="s">
        <v>33</v>
      </c>
      <c r="D6" s="6">
        <v>37</v>
      </c>
      <c r="E6" s="6" t="s">
        <v>21</v>
      </c>
      <c r="F6" s="6" t="s">
        <v>15</v>
      </c>
      <c r="G6" s="6">
        <v>5000</v>
      </c>
      <c r="H6" s="6">
        <v>58000</v>
      </c>
      <c r="I6" s="6" t="s">
        <v>16</v>
      </c>
      <c r="J6" s="6">
        <v>0</v>
      </c>
      <c r="K6" s="6">
        <v>710</v>
      </c>
      <c r="L6" s="6" t="s">
        <v>17</v>
      </c>
      <c r="M6" s="6" t="s">
        <v>80</v>
      </c>
      <c r="N6" s="6" t="s">
        <v>25</v>
      </c>
      <c r="O6" s="5">
        <v>4</v>
      </c>
      <c r="P6" t="e">
        <v>#DIV/0!</v>
      </c>
      <c r="Q6" t="b">
        <v>0</v>
      </c>
      <c r="R6" s="5" t="str">
        <v>Odd</v>
      </c>
      <c r="S6">
        <f t="shared" si="0"/>
        <v>93</v>
      </c>
      <c r="T6" t="str">
        <v/>
      </c>
      <c r="U6" t="str">
        <v>Bad</v>
      </c>
      <c r="V6" t="b">
        <v>0</v>
      </c>
      <c r="W6" t="str" cm="1">
        <f t="array" ref="W6">IF(AND(D6:D354&gt;40, K6:K354&lt;300, H6:H354&lt;8000), "Not Eligible", "Eligible")</f>
        <v>Eligible</v>
      </c>
      <c r="X6" t="str">
        <f t="shared" si="1"/>
        <v>Bad</v>
      </c>
      <c r="Y6" t="str">
        <f t="shared" si="2"/>
        <v/>
      </c>
      <c r="Z6" t="b">
        <v>1</v>
      </c>
    </row>
    <row r="7" spans="1:26" x14ac:dyDescent="0.3">
      <c r="A7" s="6">
        <v>6</v>
      </c>
      <c r="B7" s="6" t="s">
        <v>34</v>
      </c>
      <c r="C7" s="6" t="s">
        <v>35</v>
      </c>
      <c r="D7" s="6">
        <v>30</v>
      </c>
      <c r="E7" s="6" t="s">
        <v>14</v>
      </c>
      <c r="F7" s="6" t="s">
        <v>22</v>
      </c>
      <c r="G7" s="6">
        <v>6000</v>
      </c>
      <c r="H7" s="6">
        <v>70000</v>
      </c>
      <c r="I7" s="6" t="s">
        <v>23</v>
      </c>
      <c r="J7" s="6">
        <v>20000</v>
      </c>
      <c r="K7" s="6">
        <v>700</v>
      </c>
      <c r="L7" s="6" t="s">
        <v>24</v>
      </c>
      <c r="M7" s="6" t="s">
        <v>80</v>
      </c>
      <c r="N7" s="6" t="s">
        <v>18</v>
      </c>
      <c r="O7" s="5">
        <v>3</v>
      </c>
      <c r="P7">
        <v>3.5</v>
      </c>
      <c r="Q7" t="b">
        <v>1</v>
      </c>
      <c r="R7" s="5" t="str">
        <v>Even</v>
      </c>
      <c r="S7">
        <f t="shared" si="0"/>
        <v>144</v>
      </c>
      <c r="T7" t="str">
        <v>Good</v>
      </c>
      <c r="U7" t="str">
        <v/>
      </c>
      <c r="V7" t="b">
        <v>0</v>
      </c>
      <c r="W7" t="str" cm="1">
        <f t="array" ref="W7">IF(AND(D7:D355&gt;40, K7:K355&lt;300, H7:H355&lt;8000), "Not Eligible", "Eligible")</f>
        <v>Eligible</v>
      </c>
      <c r="X7" t="str">
        <f t="shared" si="1"/>
        <v>Good</v>
      </c>
      <c r="Y7" t="str">
        <f t="shared" si="2"/>
        <v>In Progress</v>
      </c>
      <c r="Z7" t="b">
        <v>0</v>
      </c>
    </row>
    <row r="8" spans="1:26" x14ac:dyDescent="0.3">
      <c r="A8" s="6">
        <v>7</v>
      </c>
      <c r="B8" s="6" t="s">
        <v>36</v>
      </c>
      <c r="C8" s="6" t="s">
        <v>37</v>
      </c>
      <c r="D8" s="6">
        <v>40</v>
      </c>
      <c r="E8" s="6" t="s">
        <v>21</v>
      </c>
      <c r="F8" s="6" t="s">
        <v>15</v>
      </c>
      <c r="G8" s="6">
        <v>15000</v>
      </c>
      <c r="H8" s="6">
        <v>82000</v>
      </c>
      <c r="I8" s="6" t="s">
        <v>16</v>
      </c>
      <c r="J8" s="6">
        <v>0</v>
      </c>
      <c r="K8" s="6">
        <v>730</v>
      </c>
      <c r="L8" s="6" t="s">
        <v>28</v>
      </c>
      <c r="M8" s="6" t="s">
        <v>80</v>
      </c>
      <c r="N8" s="6" t="s">
        <v>25</v>
      </c>
      <c r="O8" s="5">
        <v>7</v>
      </c>
      <c r="P8" t="e">
        <v>#DIV/0!</v>
      </c>
      <c r="Q8" t="b">
        <v>0</v>
      </c>
      <c r="R8" s="5" t="str">
        <v>Even</v>
      </c>
      <c r="S8">
        <f t="shared" si="0"/>
        <v>20</v>
      </c>
      <c r="T8" t="str">
        <v/>
      </c>
      <c r="U8" t="str">
        <v>Bad</v>
      </c>
      <c r="V8" t="b">
        <v>0</v>
      </c>
      <c r="W8" t="str" cm="1">
        <f t="array" ref="W8">IF(AND(D8:D356&gt;40, K8:K356&lt;300, H8:H356&lt;8000), "Not Eligible", "Eligible")</f>
        <v>Eligible</v>
      </c>
      <c r="X8" t="str">
        <f t="shared" si="1"/>
        <v>Bad</v>
      </c>
      <c r="Y8" t="str">
        <f t="shared" si="2"/>
        <v/>
      </c>
      <c r="Z8" t="b">
        <v>1</v>
      </c>
    </row>
    <row r="9" spans="1:26" x14ac:dyDescent="0.3">
      <c r="A9" s="6">
        <v>8</v>
      </c>
      <c r="B9" s="6" t="s">
        <v>38</v>
      </c>
      <c r="C9" s="6" t="s">
        <v>39</v>
      </c>
      <c r="D9" s="6">
        <v>25</v>
      </c>
      <c r="E9" s="6" t="s">
        <v>14</v>
      </c>
      <c r="F9" s="6" t="s">
        <v>22</v>
      </c>
      <c r="G9" s="6">
        <v>2000</v>
      </c>
      <c r="H9" s="6">
        <v>43000</v>
      </c>
      <c r="I9" s="6" t="s">
        <v>16</v>
      </c>
      <c r="J9" s="6">
        <v>0</v>
      </c>
      <c r="K9" s="6">
        <v>670</v>
      </c>
      <c r="L9" s="6" t="s">
        <v>31</v>
      </c>
      <c r="M9" s="6" t="s">
        <v>81</v>
      </c>
      <c r="N9" s="6" t="s">
        <v>18</v>
      </c>
      <c r="O9" s="5">
        <v>12</v>
      </c>
      <c r="P9" t="e">
        <v>#DIV/0!</v>
      </c>
      <c r="Q9" t="b">
        <v>0</v>
      </c>
      <c r="R9" s="5" t="str">
        <v>Odd</v>
      </c>
      <c r="S9">
        <f t="shared" si="0"/>
        <v>312</v>
      </c>
      <c r="T9" t="str">
        <v>Good</v>
      </c>
      <c r="U9" t="str">
        <v/>
      </c>
      <c r="V9" t="b">
        <v>0</v>
      </c>
      <c r="W9" t="str" cm="1">
        <f t="array" ref="W9">IF(AND(D9:D357&gt;40, K9:K357&lt;300, H9:H357&lt;8000), "Not Eligible", "Eligible")</f>
        <v>Eligible</v>
      </c>
      <c r="X9" t="str">
        <f t="shared" si="1"/>
        <v>Bad</v>
      </c>
      <c r="Y9" t="str">
        <f t="shared" si="2"/>
        <v>In Progress</v>
      </c>
      <c r="Z9" t="b">
        <v>1</v>
      </c>
    </row>
    <row r="10" spans="1:26" x14ac:dyDescent="0.3">
      <c r="A10" s="6">
        <v>9</v>
      </c>
      <c r="B10" s="6" t="s">
        <v>40</v>
      </c>
      <c r="C10" s="6" t="s">
        <v>41</v>
      </c>
      <c r="D10" s="6">
        <v>31</v>
      </c>
      <c r="E10" s="6" t="s">
        <v>21</v>
      </c>
      <c r="F10" s="6" t="s">
        <v>15</v>
      </c>
      <c r="G10" s="6">
        <v>7000</v>
      </c>
      <c r="H10" s="6">
        <v>55000</v>
      </c>
      <c r="I10" s="6" t="s">
        <v>23</v>
      </c>
      <c r="J10" s="6">
        <v>10000</v>
      </c>
      <c r="K10" s="6">
        <v>720</v>
      </c>
      <c r="L10" s="6" t="s">
        <v>17</v>
      </c>
      <c r="M10" s="6" t="s">
        <v>81</v>
      </c>
      <c r="N10" s="6" t="s">
        <v>18</v>
      </c>
      <c r="O10" s="5">
        <v>11</v>
      </c>
      <c r="P10">
        <v>5.5</v>
      </c>
      <c r="Q10" t="b">
        <v>1</v>
      </c>
      <c r="R10" s="5" t="str">
        <v>Odd</v>
      </c>
      <c r="S10">
        <f t="shared" si="0"/>
        <v>24</v>
      </c>
      <c r="T10" t="str">
        <v>Good</v>
      </c>
      <c r="U10" t="str">
        <v/>
      </c>
      <c r="V10" t="b">
        <v>0</v>
      </c>
      <c r="W10" t="str" cm="1">
        <f t="array" ref="W10">IF(AND(D10:D358&gt;40, K10:K358&lt;300, H10:H358&lt;8000), "Not Eligible", "Eligible")</f>
        <v>Eligible</v>
      </c>
      <c r="X10" t="str">
        <f t="shared" si="1"/>
        <v>Bad</v>
      </c>
      <c r="Y10" t="str">
        <f t="shared" si="2"/>
        <v>In Progress</v>
      </c>
      <c r="Z10" t="b">
        <v>0</v>
      </c>
    </row>
    <row r="11" spans="1:26" x14ac:dyDescent="0.3">
      <c r="A11" s="6">
        <v>10</v>
      </c>
      <c r="B11" s="6" t="s">
        <v>42</v>
      </c>
      <c r="C11" s="6" t="s">
        <v>43</v>
      </c>
      <c r="D11" s="6">
        <v>44</v>
      </c>
      <c r="E11" s="6" t="s">
        <v>14</v>
      </c>
      <c r="F11" s="6" t="s">
        <v>22</v>
      </c>
      <c r="G11" s="6">
        <v>11000</v>
      </c>
      <c r="H11" s="6">
        <v>65000</v>
      </c>
      <c r="I11" s="6" t="s">
        <v>16</v>
      </c>
      <c r="J11" s="6">
        <v>0</v>
      </c>
      <c r="K11" s="6">
        <v>740</v>
      </c>
      <c r="L11" s="6" t="s">
        <v>24</v>
      </c>
      <c r="M11" s="6" t="s">
        <v>82</v>
      </c>
      <c r="N11" s="6" t="s">
        <v>25</v>
      </c>
      <c r="O11" s="5">
        <v>3</v>
      </c>
      <c r="P11" t="e">
        <v>#DIV/0!</v>
      </c>
      <c r="Q11" t="b">
        <v>0</v>
      </c>
      <c r="R11" s="5" t="str">
        <v>Even</v>
      </c>
      <c r="S11">
        <f t="shared" si="0"/>
        <v>5</v>
      </c>
      <c r="T11" t="str">
        <v/>
      </c>
      <c r="U11" t="str">
        <v>Bad</v>
      </c>
      <c r="V11" t="b">
        <v>0</v>
      </c>
      <c r="W11" t="str" cm="1">
        <f t="array" ref="W11">IF(AND(D11:D359&gt;40, K11:K359&lt;300, H11:H359&lt;8000), "Not Eligible", "Eligible")</f>
        <v>Eligible</v>
      </c>
      <c r="X11" t="str">
        <f t="shared" si="1"/>
        <v>Good</v>
      </c>
      <c r="Y11" t="str">
        <f t="shared" si="2"/>
        <v/>
      </c>
      <c r="Z11" t="b">
        <v>1</v>
      </c>
    </row>
    <row r="12" spans="1:26" x14ac:dyDescent="0.3">
      <c r="A12" s="6">
        <v>11</v>
      </c>
      <c r="B12" s="6" t="s">
        <v>44</v>
      </c>
      <c r="C12" s="6" t="s">
        <v>45</v>
      </c>
      <c r="D12" s="6">
        <v>28</v>
      </c>
      <c r="E12" s="6" t="s">
        <v>21</v>
      </c>
      <c r="F12" s="6" t="s">
        <v>15</v>
      </c>
      <c r="G12" s="6">
        <v>4500</v>
      </c>
      <c r="H12" s="6">
        <v>47000</v>
      </c>
      <c r="I12" s="6" t="s">
        <v>16</v>
      </c>
      <c r="J12" s="6">
        <v>0</v>
      </c>
      <c r="K12" s="6">
        <v>690</v>
      </c>
      <c r="L12" s="6" t="s">
        <v>28</v>
      </c>
      <c r="M12" s="6" t="s">
        <v>80</v>
      </c>
      <c r="N12" s="6" t="s">
        <v>18</v>
      </c>
      <c r="O12" s="5">
        <v>3</v>
      </c>
      <c r="P12" t="e">
        <v>#DIV/0!</v>
      </c>
      <c r="Q12" t="b">
        <v>0</v>
      </c>
      <c r="R12" s="5" t="str">
        <v>Even</v>
      </c>
      <c r="S12">
        <f t="shared" si="0"/>
        <v>187</v>
      </c>
      <c r="T12" t="str">
        <v>Good</v>
      </c>
      <c r="U12" t="str">
        <v/>
      </c>
      <c r="V12" t="b">
        <v>0</v>
      </c>
      <c r="W12" t="str" cm="1">
        <f t="array" ref="W12">IF(AND(D12:D360&gt;40, K12:K360&lt;300, H12:H360&lt;8000), "Not Eligible", "Eligible")</f>
        <v>Eligible</v>
      </c>
      <c r="X12" t="str">
        <f t="shared" si="1"/>
        <v>Bad</v>
      </c>
      <c r="Y12" t="str">
        <f t="shared" si="2"/>
        <v>In Progress</v>
      </c>
      <c r="Z12" t="b">
        <v>1</v>
      </c>
    </row>
    <row r="13" spans="1:26" x14ac:dyDescent="0.3">
      <c r="A13" s="6">
        <v>12</v>
      </c>
      <c r="B13" s="6" t="s">
        <v>46</v>
      </c>
      <c r="C13" s="6" t="s">
        <v>47</v>
      </c>
      <c r="D13" s="6">
        <v>39</v>
      </c>
      <c r="E13" s="6" t="s">
        <v>14</v>
      </c>
      <c r="F13" s="6" t="s">
        <v>22</v>
      </c>
      <c r="G13" s="6">
        <v>10000</v>
      </c>
      <c r="H13" s="6">
        <v>72000</v>
      </c>
      <c r="I13" s="6" t="s">
        <v>23</v>
      </c>
      <c r="J13" s="6">
        <v>12000</v>
      </c>
      <c r="K13" s="6">
        <v>700</v>
      </c>
      <c r="L13" s="6" t="s">
        <v>31</v>
      </c>
      <c r="M13" s="6" t="s">
        <v>82</v>
      </c>
      <c r="N13" s="6" t="s">
        <v>18</v>
      </c>
      <c r="O13" s="5" t="s">
        <v>319</v>
      </c>
      <c r="P13">
        <v>6</v>
      </c>
      <c r="Q13" t="b">
        <v>1</v>
      </c>
      <c r="R13" s="5" t="str">
        <v>Odd</v>
      </c>
      <c r="S13">
        <f t="shared" si="0"/>
        <v>141</v>
      </c>
      <c r="T13" t="str">
        <v>Good</v>
      </c>
      <c r="U13" t="str">
        <v/>
      </c>
      <c r="V13" t="b">
        <v>1</v>
      </c>
      <c r="W13" t="str" cm="1">
        <f t="array" ref="W13">IF(AND(D13:D361&gt;40, K13:K361&lt;300, H13:H361&lt;8000), "Not Eligible", "Eligible")</f>
        <v>Eligible</v>
      </c>
      <c r="X13" t="str">
        <f t="shared" si="1"/>
        <v>Good</v>
      </c>
      <c r="Y13" t="str">
        <f t="shared" si="2"/>
        <v>In Progress</v>
      </c>
      <c r="Z13" t="b">
        <v>0</v>
      </c>
    </row>
    <row r="14" spans="1:26" x14ac:dyDescent="0.3">
      <c r="A14" s="6">
        <v>13</v>
      </c>
      <c r="B14" s="6" t="s">
        <v>48</v>
      </c>
      <c r="C14" s="6" t="s">
        <v>49</v>
      </c>
      <c r="D14" s="6">
        <v>26</v>
      </c>
      <c r="E14" s="6" t="s">
        <v>21</v>
      </c>
      <c r="F14" s="6" t="s">
        <v>15</v>
      </c>
      <c r="G14" s="6">
        <v>3500</v>
      </c>
      <c r="H14" s="6">
        <v>53000</v>
      </c>
      <c r="I14" s="6" t="s">
        <v>16</v>
      </c>
      <c r="J14" s="6">
        <v>0</v>
      </c>
      <c r="K14" s="6">
        <v>680</v>
      </c>
      <c r="L14" s="6" t="s">
        <v>17</v>
      </c>
      <c r="M14" s="6" t="s">
        <v>81</v>
      </c>
      <c r="N14" s="6" t="s">
        <v>25</v>
      </c>
      <c r="O14" s="5">
        <v>11</v>
      </c>
      <c r="P14" t="e">
        <v>#DIV/0!</v>
      </c>
      <c r="Q14" t="b">
        <v>0</v>
      </c>
      <c r="R14" s="5" t="str">
        <v>Even</v>
      </c>
      <c r="S14">
        <f t="shared" si="0"/>
        <v>244</v>
      </c>
      <c r="T14" t="str">
        <v/>
      </c>
      <c r="U14" t="str">
        <v>Bad</v>
      </c>
      <c r="V14" t="b">
        <v>0</v>
      </c>
      <c r="W14" t="str" cm="1">
        <f t="array" ref="W14">IF(AND(D14:D362&gt;40, K14:K362&lt;300, H14:H362&lt;8000), "Not Eligible", "Eligible")</f>
        <v>Eligible</v>
      </c>
      <c r="X14" t="str">
        <f t="shared" si="1"/>
        <v>Bad</v>
      </c>
      <c r="Y14" t="str">
        <f t="shared" si="2"/>
        <v/>
      </c>
      <c r="Z14" t="b">
        <v>1</v>
      </c>
    </row>
    <row r="15" spans="1:26" x14ac:dyDescent="0.3">
      <c r="A15" s="6">
        <v>14</v>
      </c>
      <c r="B15" s="6" t="s">
        <v>50</v>
      </c>
      <c r="C15" s="6" t="s">
        <v>51</v>
      </c>
      <c r="D15" s="6">
        <v>33</v>
      </c>
      <c r="E15" s="6" t="s">
        <v>14</v>
      </c>
      <c r="F15" s="6" t="s">
        <v>22</v>
      </c>
      <c r="G15" s="6">
        <v>8000</v>
      </c>
      <c r="H15" s="6">
        <v>60000</v>
      </c>
      <c r="I15" s="6" t="s">
        <v>23</v>
      </c>
      <c r="J15" s="6">
        <v>8000</v>
      </c>
      <c r="K15" s="6">
        <v>710</v>
      </c>
      <c r="L15" s="6" t="s">
        <v>24</v>
      </c>
      <c r="M15" s="6" t="s">
        <v>80</v>
      </c>
      <c r="N15" s="6" t="s">
        <v>18</v>
      </c>
      <c r="O15" s="5">
        <v>11</v>
      </c>
      <c r="P15">
        <v>7.5</v>
      </c>
      <c r="Q15" t="b">
        <v>1</v>
      </c>
      <c r="R15" s="5" t="str">
        <v>Odd</v>
      </c>
      <c r="S15">
        <f t="shared" si="0"/>
        <v>90</v>
      </c>
      <c r="T15" t="str">
        <v>Good</v>
      </c>
      <c r="U15" t="str">
        <v/>
      </c>
      <c r="V15" t="b">
        <v>0</v>
      </c>
      <c r="W15" t="str" cm="1">
        <f t="array" ref="W15">IF(AND(D15:D363&gt;40, K15:K363&lt;300, H15:H363&lt;8000), "Not Eligible", "Eligible")</f>
        <v>Eligible</v>
      </c>
      <c r="X15" t="str">
        <f t="shared" si="1"/>
        <v>Good</v>
      </c>
      <c r="Y15" t="str">
        <f t="shared" si="2"/>
        <v>In Progress</v>
      </c>
      <c r="Z15" t="b">
        <v>0</v>
      </c>
    </row>
    <row r="16" spans="1:26" x14ac:dyDescent="0.3">
      <c r="A16" s="6">
        <v>15</v>
      </c>
      <c r="B16" s="6" t="s">
        <v>52</v>
      </c>
      <c r="C16" s="6" t="s">
        <v>53</v>
      </c>
      <c r="D16" s="6">
        <v>46</v>
      </c>
      <c r="E16" s="6" t="s">
        <v>21</v>
      </c>
      <c r="F16" s="6" t="s">
        <v>15</v>
      </c>
      <c r="G16" s="6">
        <v>13000</v>
      </c>
      <c r="H16" s="6">
        <v>85000</v>
      </c>
      <c r="I16" s="6" t="s">
        <v>16</v>
      </c>
      <c r="J16" s="6">
        <v>0</v>
      </c>
      <c r="K16" s="6">
        <v>740</v>
      </c>
      <c r="L16" s="6" t="s">
        <v>28</v>
      </c>
      <c r="M16" s="6" t="s">
        <v>82</v>
      </c>
      <c r="N16" s="6" t="s">
        <v>25</v>
      </c>
      <c r="O16" s="5">
        <v>6</v>
      </c>
      <c r="P16" t="e">
        <v>#DIV/0!</v>
      </c>
      <c r="Q16" t="b">
        <v>0</v>
      </c>
      <c r="R16" s="5" t="str">
        <v>Even</v>
      </c>
      <c r="S16">
        <f t="shared" si="0"/>
        <v>5</v>
      </c>
      <c r="T16" t="str">
        <v/>
      </c>
      <c r="U16" t="str">
        <v>Bad</v>
      </c>
      <c r="V16" t="b">
        <v>0</v>
      </c>
      <c r="W16" t="str" cm="1">
        <f t="array" ref="W16">IF(AND(D16:D364&gt;40, K16:K364&lt;300, H16:H364&lt;8000), "Not Eligible", "Eligible")</f>
        <v>Eligible</v>
      </c>
      <c r="X16" t="str">
        <f t="shared" si="1"/>
        <v>Bad</v>
      </c>
      <c r="Y16" t="str">
        <f t="shared" si="2"/>
        <v/>
      </c>
      <c r="Z16" t="b">
        <v>1</v>
      </c>
    </row>
    <row r="17" spans="1:26" x14ac:dyDescent="0.3">
      <c r="A17" s="6">
        <v>16</v>
      </c>
      <c r="B17" s="6" t="s">
        <v>54</v>
      </c>
      <c r="C17" s="6" t="s">
        <v>55</v>
      </c>
      <c r="D17" s="6">
        <v>52</v>
      </c>
      <c r="E17" s="6" t="s">
        <v>14</v>
      </c>
      <c r="F17" s="6" t="s">
        <v>22</v>
      </c>
      <c r="G17" s="6">
        <v>4000</v>
      </c>
      <c r="H17" s="6">
        <v>49000</v>
      </c>
      <c r="I17" s="6" t="s">
        <v>23</v>
      </c>
      <c r="J17" s="6">
        <v>7000</v>
      </c>
      <c r="K17" s="6">
        <v>690</v>
      </c>
      <c r="L17" s="6" t="s">
        <v>31</v>
      </c>
      <c r="M17" s="6" t="s">
        <v>80</v>
      </c>
      <c r="N17" s="6" t="s">
        <v>18</v>
      </c>
      <c r="O17" s="5">
        <v>6</v>
      </c>
      <c r="P17">
        <v>7</v>
      </c>
      <c r="Q17" t="b">
        <v>1</v>
      </c>
      <c r="R17" s="5" t="str">
        <v>Even</v>
      </c>
      <c r="S17">
        <f t="shared" si="0"/>
        <v>184</v>
      </c>
      <c r="T17" t="str">
        <v>Good</v>
      </c>
      <c r="U17" t="str">
        <v/>
      </c>
      <c r="V17" t="b">
        <v>0</v>
      </c>
      <c r="W17" t="str" cm="1">
        <f t="array" ref="W17">IF(AND(D17:D365&gt;40, K17:K365&lt;300, H17:H365&lt;8000), "Not Eligible", "Eligible")</f>
        <v>Eligible</v>
      </c>
      <c r="X17" t="str">
        <f t="shared" si="1"/>
        <v>Good</v>
      </c>
      <c r="Y17" t="str">
        <f t="shared" si="2"/>
        <v>In Progress</v>
      </c>
      <c r="Z17" t="b">
        <v>0</v>
      </c>
    </row>
    <row r="18" spans="1:26" x14ac:dyDescent="0.3">
      <c r="A18" s="6">
        <v>17</v>
      </c>
      <c r="B18" s="6" t="s">
        <v>56</v>
      </c>
      <c r="C18" s="6" t="s">
        <v>57</v>
      </c>
      <c r="D18" s="6">
        <v>24</v>
      </c>
      <c r="E18" s="6" t="s">
        <v>14</v>
      </c>
      <c r="F18" s="6" t="s">
        <v>15</v>
      </c>
      <c r="G18" s="6">
        <v>2200</v>
      </c>
      <c r="H18" s="6">
        <v>45000</v>
      </c>
      <c r="I18" s="6" t="s">
        <v>16</v>
      </c>
      <c r="J18" s="6">
        <v>0</v>
      </c>
      <c r="K18" s="6">
        <v>670</v>
      </c>
      <c r="L18" s="6" t="s">
        <v>17</v>
      </c>
      <c r="M18" s="6" t="s">
        <v>81</v>
      </c>
      <c r="N18" s="6" t="s">
        <v>25</v>
      </c>
      <c r="O18" s="5">
        <v>5</v>
      </c>
      <c r="P18" t="e">
        <v>#DIV/0!</v>
      </c>
      <c r="Q18" t="b">
        <v>0</v>
      </c>
      <c r="R18" s="5" t="str">
        <v>Even</v>
      </c>
      <c r="S18">
        <f t="shared" si="0"/>
        <v>304</v>
      </c>
      <c r="T18" t="str">
        <v/>
      </c>
      <c r="U18" t="str">
        <v>Bad</v>
      </c>
      <c r="V18" t="b">
        <v>0</v>
      </c>
      <c r="W18" t="str" cm="1">
        <f t="array" ref="W18">IF(AND(D18:D366&gt;40, K18:K366&lt;300, H18:H366&lt;8000), "Not Eligible", "Eligible")</f>
        <v>Eligible</v>
      </c>
      <c r="X18" t="str">
        <f t="shared" si="1"/>
        <v>Good</v>
      </c>
      <c r="Y18" t="str">
        <f t="shared" si="2"/>
        <v/>
      </c>
      <c r="Z18" t="b">
        <v>1</v>
      </c>
    </row>
    <row r="19" spans="1:26" x14ac:dyDescent="0.3">
      <c r="A19" s="6">
        <v>18</v>
      </c>
      <c r="B19" s="6" t="s">
        <v>58</v>
      </c>
      <c r="C19" s="6" t="s">
        <v>59</v>
      </c>
      <c r="D19" s="6">
        <v>38</v>
      </c>
      <c r="E19" s="6" t="s">
        <v>14</v>
      </c>
      <c r="F19" s="6" t="s">
        <v>22</v>
      </c>
      <c r="G19" s="6">
        <v>15000</v>
      </c>
      <c r="H19" s="6">
        <v>77000</v>
      </c>
      <c r="I19" s="6" t="s">
        <v>23</v>
      </c>
      <c r="J19" s="6">
        <v>15000</v>
      </c>
      <c r="K19" s="6">
        <v>720</v>
      </c>
      <c r="L19" s="6" t="s">
        <v>24</v>
      </c>
      <c r="M19" s="6" t="s">
        <v>82</v>
      </c>
      <c r="N19" s="6" t="s">
        <v>18</v>
      </c>
      <c r="O19" s="5" t="s">
        <v>319</v>
      </c>
      <c r="P19">
        <v>5.1333333333333337</v>
      </c>
      <c r="Q19" t="b">
        <v>1</v>
      </c>
      <c r="R19" s="5" t="str">
        <v>Even</v>
      </c>
      <c r="S19">
        <f t="shared" si="0"/>
        <v>22</v>
      </c>
      <c r="T19" t="str">
        <v>Good</v>
      </c>
      <c r="U19" t="str">
        <v/>
      </c>
      <c r="V19" t="b">
        <v>1</v>
      </c>
      <c r="W19" t="str" cm="1">
        <f t="array" ref="W19">IF(AND(D19:D367&gt;40, K19:K367&lt;300, H19:H367&lt;8000), "Not Eligible", "Eligible")</f>
        <v>Eligible</v>
      </c>
      <c r="X19" t="str">
        <f t="shared" si="1"/>
        <v>Good</v>
      </c>
      <c r="Y19" t="str">
        <f t="shared" si="2"/>
        <v>In Progress</v>
      </c>
      <c r="Z19" t="b">
        <v>0</v>
      </c>
    </row>
    <row r="20" spans="1:26" x14ac:dyDescent="0.3">
      <c r="A20" s="6">
        <v>19</v>
      </c>
      <c r="B20" s="6" t="s">
        <v>60</v>
      </c>
      <c r="C20" s="6" t="s">
        <v>61</v>
      </c>
      <c r="D20" s="6">
        <v>27</v>
      </c>
      <c r="E20" s="6" t="s">
        <v>21</v>
      </c>
      <c r="F20" s="6" t="s">
        <v>15</v>
      </c>
      <c r="G20" s="6">
        <v>4000</v>
      </c>
      <c r="H20" s="6">
        <v>50000</v>
      </c>
      <c r="I20" s="6" t="s">
        <v>16</v>
      </c>
      <c r="J20" s="6">
        <v>0</v>
      </c>
      <c r="K20" s="6">
        <v>680</v>
      </c>
      <c r="L20" s="6" t="s">
        <v>28</v>
      </c>
      <c r="M20" s="6" t="s">
        <v>80</v>
      </c>
      <c r="N20" s="6" t="s">
        <v>25</v>
      </c>
      <c r="O20" s="5">
        <v>6</v>
      </c>
      <c r="P20" t="e">
        <v>#DIV/0!</v>
      </c>
      <c r="Q20" t="b">
        <v>0</v>
      </c>
      <c r="R20" s="5" t="str">
        <v>Odd</v>
      </c>
      <c r="S20">
        <f t="shared" si="0"/>
        <v>240</v>
      </c>
      <c r="T20" t="str">
        <v/>
      </c>
      <c r="U20" t="str">
        <v>Bad</v>
      </c>
      <c r="V20" t="b">
        <v>0</v>
      </c>
      <c r="W20" t="str" cm="1">
        <f t="array" ref="W20">IF(AND(D20:D368&gt;40, K20:K368&lt;300, H20:H368&lt;8000), "Not Eligible", "Eligible")</f>
        <v>Eligible</v>
      </c>
      <c r="X20" t="str">
        <f t="shared" si="1"/>
        <v>Bad</v>
      </c>
      <c r="Y20" t="str">
        <f t="shared" si="2"/>
        <v/>
      </c>
      <c r="Z20" t="b">
        <v>1</v>
      </c>
    </row>
    <row r="21" spans="1:26" x14ac:dyDescent="0.3">
      <c r="A21" s="6">
        <v>20</v>
      </c>
      <c r="B21" s="6" t="s">
        <v>62</v>
      </c>
      <c r="C21" s="6" t="s">
        <v>63</v>
      </c>
      <c r="D21" s="6">
        <v>41</v>
      </c>
      <c r="E21" s="6" t="s">
        <v>14</v>
      </c>
      <c r="F21" s="6" t="s">
        <v>22</v>
      </c>
      <c r="G21" s="6">
        <v>9000</v>
      </c>
      <c r="H21" s="6">
        <v>69000</v>
      </c>
      <c r="I21" s="6" t="s">
        <v>23</v>
      </c>
      <c r="J21" s="6">
        <v>12000</v>
      </c>
      <c r="K21" s="6">
        <v>700</v>
      </c>
      <c r="L21" s="6" t="s">
        <v>31</v>
      </c>
      <c r="M21" s="6" t="s">
        <v>82</v>
      </c>
      <c r="N21" s="6" t="s">
        <v>18</v>
      </c>
      <c r="O21" s="5">
        <v>5</v>
      </c>
      <c r="P21">
        <v>5.75</v>
      </c>
      <c r="Q21" t="b">
        <v>1</v>
      </c>
      <c r="R21" s="5" t="str">
        <v>Odd</v>
      </c>
      <c r="S21">
        <f t="shared" si="0"/>
        <v>138</v>
      </c>
      <c r="T21" t="str">
        <v>Good</v>
      </c>
      <c r="U21" t="str">
        <v/>
      </c>
      <c r="V21" t="b">
        <v>0</v>
      </c>
      <c r="W21" t="str" cm="1">
        <f t="array" ref="W21">IF(AND(D21:D369&gt;40, K21:K369&lt;300, H21:H369&lt;8000), "Not Eligible", "Eligible")</f>
        <v>Eligible</v>
      </c>
      <c r="X21" t="str">
        <f t="shared" si="1"/>
        <v>Good</v>
      </c>
      <c r="Y21" t="str">
        <f t="shared" si="2"/>
        <v>In Progress</v>
      </c>
      <c r="Z21" t="b">
        <v>0</v>
      </c>
    </row>
    <row r="22" spans="1:26" x14ac:dyDescent="0.3">
      <c r="A22" s="6">
        <v>21</v>
      </c>
      <c r="B22" s="6" t="s">
        <v>64</v>
      </c>
      <c r="C22" s="6" t="s">
        <v>65</v>
      </c>
      <c r="D22" s="6">
        <v>32</v>
      </c>
      <c r="E22" s="6" t="s">
        <v>21</v>
      </c>
      <c r="F22" s="6" t="s">
        <v>15</v>
      </c>
      <c r="G22" s="6">
        <v>5500</v>
      </c>
      <c r="H22" s="6">
        <v>54000</v>
      </c>
      <c r="I22" s="6" t="s">
        <v>16</v>
      </c>
      <c r="J22" s="6">
        <v>0</v>
      </c>
      <c r="K22" s="6">
        <v>710</v>
      </c>
      <c r="L22" s="6" t="s">
        <v>17</v>
      </c>
      <c r="M22" s="6" t="s">
        <v>80</v>
      </c>
      <c r="N22" s="6" t="s">
        <v>25</v>
      </c>
      <c r="O22" s="5">
        <v>14</v>
      </c>
      <c r="P22" t="e">
        <v>#DIV/0!</v>
      </c>
      <c r="Q22" t="b">
        <v>0</v>
      </c>
      <c r="R22" s="5" t="str">
        <v>Even</v>
      </c>
      <c r="S22">
        <f t="shared" si="0"/>
        <v>88</v>
      </c>
      <c r="T22" t="str">
        <v/>
      </c>
      <c r="U22" t="str">
        <v>Bad</v>
      </c>
      <c r="V22" t="b">
        <v>0</v>
      </c>
      <c r="W22" t="str" cm="1">
        <f t="array" ref="W22">IF(AND(D22:D370&gt;40, K22:K370&lt;300, H22:H370&lt;8000), "Not Eligible", "Eligible")</f>
        <v>Eligible</v>
      </c>
      <c r="X22" t="str">
        <f t="shared" si="1"/>
        <v>Bad</v>
      </c>
      <c r="Y22" t="str">
        <f t="shared" si="2"/>
        <v/>
      </c>
      <c r="Z22" t="b">
        <v>1</v>
      </c>
    </row>
    <row r="23" spans="1:26" x14ac:dyDescent="0.3">
      <c r="A23" s="6">
        <v>22</v>
      </c>
      <c r="B23" s="6" t="s">
        <v>66</v>
      </c>
      <c r="C23" s="6" t="s">
        <v>67</v>
      </c>
      <c r="D23" s="6">
        <v>47</v>
      </c>
      <c r="E23" s="6" t="s">
        <v>14</v>
      </c>
      <c r="F23" s="6" t="s">
        <v>22</v>
      </c>
      <c r="G23" s="6">
        <v>7000</v>
      </c>
      <c r="H23" s="6">
        <v>74000</v>
      </c>
      <c r="I23" s="6" t="s">
        <v>23</v>
      </c>
      <c r="J23" s="6">
        <v>10000</v>
      </c>
      <c r="K23" s="6">
        <v>690</v>
      </c>
      <c r="L23" s="6" t="s">
        <v>24</v>
      </c>
      <c r="M23" s="6" t="s">
        <v>81</v>
      </c>
      <c r="N23" s="6" t="s">
        <v>18</v>
      </c>
      <c r="O23" s="5">
        <v>12</v>
      </c>
      <c r="P23">
        <v>7.4</v>
      </c>
      <c r="Q23" t="b">
        <v>1</v>
      </c>
      <c r="R23" s="5" t="str">
        <v>Odd</v>
      </c>
      <c r="S23">
        <f t="shared" si="0"/>
        <v>181</v>
      </c>
      <c r="T23" t="str">
        <v>Good</v>
      </c>
      <c r="U23" t="str">
        <v/>
      </c>
      <c r="V23" t="b">
        <v>0</v>
      </c>
      <c r="W23" t="str" cm="1">
        <f t="array" ref="W23">IF(AND(D23:D371&gt;40, K23:K371&lt;300, H23:H371&lt;8000), "Not Eligible", "Eligible")</f>
        <v>Eligible</v>
      </c>
      <c r="X23" t="str">
        <f t="shared" si="1"/>
        <v>Good</v>
      </c>
      <c r="Y23" t="str">
        <f t="shared" si="2"/>
        <v>In Progress</v>
      </c>
      <c r="Z23" t="b">
        <v>0</v>
      </c>
    </row>
    <row r="24" spans="1:26" x14ac:dyDescent="0.3">
      <c r="A24" s="6">
        <v>23</v>
      </c>
      <c r="B24" s="6" t="s">
        <v>68</v>
      </c>
      <c r="C24" s="6" t="s">
        <v>69</v>
      </c>
      <c r="D24" s="6">
        <v>35</v>
      </c>
      <c r="E24" s="6" t="s">
        <v>21</v>
      </c>
      <c r="F24" s="6" t="s">
        <v>15</v>
      </c>
      <c r="G24" s="6">
        <v>6000</v>
      </c>
      <c r="H24" s="6">
        <v>68000</v>
      </c>
      <c r="I24" s="6" t="s">
        <v>16</v>
      </c>
      <c r="J24" s="6">
        <v>0</v>
      </c>
      <c r="K24" s="6">
        <v>720</v>
      </c>
      <c r="L24" s="6" t="s">
        <v>28</v>
      </c>
      <c r="M24" s="6" t="s">
        <v>81</v>
      </c>
      <c r="N24" s="6" t="s">
        <v>25</v>
      </c>
      <c r="O24" s="5">
        <v>11</v>
      </c>
      <c r="P24" t="e">
        <v>#DIV/0!</v>
      </c>
      <c r="Q24" t="b">
        <v>0</v>
      </c>
      <c r="R24" s="5" t="str">
        <v>Odd</v>
      </c>
      <c r="S24">
        <f t="shared" si="0"/>
        <v>22</v>
      </c>
      <c r="T24" t="str">
        <v/>
      </c>
      <c r="U24" t="str">
        <v>Bad</v>
      </c>
      <c r="V24" t="b">
        <v>0</v>
      </c>
      <c r="W24" t="str" cm="1">
        <f t="array" ref="W24">IF(AND(D24:D372&gt;40, K24:K372&lt;300, H24:H372&lt;8000), "Not Eligible", "Eligible")</f>
        <v>Eligible</v>
      </c>
      <c r="X24" t="str">
        <f t="shared" si="1"/>
        <v>Bad</v>
      </c>
      <c r="Y24" t="str">
        <f t="shared" si="2"/>
        <v/>
      </c>
      <c r="Z24" t="b">
        <v>1</v>
      </c>
    </row>
    <row r="25" spans="1:26" x14ac:dyDescent="0.3">
      <c r="A25" s="6">
        <v>24</v>
      </c>
      <c r="B25" s="6" t="s">
        <v>70</v>
      </c>
      <c r="C25" s="6" t="s">
        <v>71</v>
      </c>
      <c r="D25" s="6">
        <v>29</v>
      </c>
      <c r="E25" s="6" t="s">
        <v>14</v>
      </c>
      <c r="F25" s="6" t="s">
        <v>22</v>
      </c>
      <c r="G25" s="6">
        <v>2500</v>
      </c>
      <c r="H25" s="6">
        <v>45000</v>
      </c>
      <c r="I25" s="6" t="s">
        <v>23</v>
      </c>
      <c r="J25" s="6">
        <v>5000</v>
      </c>
      <c r="K25" s="6">
        <v>670</v>
      </c>
      <c r="L25" s="6" t="s">
        <v>31</v>
      </c>
      <c r="M25" s="6" t="s">
        <v>81</v>
      </c>
      <c r="N25" s="6" t="s">
        <v>18</v>
      </c>
      <c r="O25" s="5">
        <v>8</v>
      </c>
      <c r="P25">
        <v>9</v>
      </c>
      <c r="Q25" t="b">
        <v>1</v>
      </c>
      <c r="R25" s="5" t="str">
        <v>Odd</v>
      </c>
      <c r="S25">
        <f t="shared" si="0"/>
        <v>298</v>
      </c>
      <c r="T25" t="str">
        <v>Good</v>
      </c>
      <c r="U25" t="str">
        <v/>
      </c>
      <c r="V25" t="b">
        <v>0</v>
      </c>
      <c r="W25" t="str" cm="1">
        <f t="array" ref="W25">IF(AND(D25:D373&gt;40, K25:K373&lt;300, H25:H373&lt;8000), "Not Eligible", "Eligible")</f>
        <v>Eligible</v>
      </c>
      <c r="X25" t="str">
        <f t="shared" si="1"/>
        <v>Good</v>
      </c>
      <c r="Y25" t="str">
        <f t="shared" si="2"/>
        <v>In Progress</v>
      </c>
      <c r="Z25" t="b">
        <v>0</v>
      </c>
    </row>
    <row r="26" spans="1:26" x14ac:dyDescent="0.3">
      <c r="A26" s="6">
        <v>25</v>
      </c>
      <c r="B26" s="6" t="s">
        <v>72</v>
      </c>
      <c r="C26" s="6" t="s">
        <v>73</v>
      </c>
      <c r="D26" s="6">
        <v>42</v>
      </c>
      <c r="E26" s="6" t="s">
        <v>21</v>
      </c>
      <c r="F26" s="6" t="s">
        <v>15</v>
      </c>
      <c r="G26" s="6">
        <v>11000</v>
      </c>
      <c r="H26" s="6">
        <v>80000</v>
      </c>
      <c r="I26" s="6" t="s">
        <v>16</v>
      </c>
      <c r="J26" s="6">
        <v>0</v>
      </c>
      <c r="K26" s="6">
        <v>740</v>
      </c>
      <c r="L26" s="6" t="s">
        <v>17</v>
      </c>
      <c r="M26" s="6" t="s">
        <v>82</v>
      </c>
      <c r="N26" s="6" t="s">
        <v>25</v>
      </c>
      <c r="O26" s="5">
        <v>4</v>
      </c>
      <c r="P26" t="e">
        <v>#DIV/0!</v>
      </c>
      <c r="Q26" t="b">
        <v>0</v>
      </c>
      <c r="R26" s="5" t="str">
        <v>Even</v>
      </c>
      <c r="S26">
        <f t="shared" si="0"/>
        <v>5</v>
      </c>
      <c r="T26" t="str">
        <v/>
      </c>
      <c r="U26" t="str">
        <v>Bad</v>
      </c>
      <c r="V26" t="b">
        <v>0</v>
      </c>
      <c r="W26" t="str" cm="1">
        <f t="array" ref="W26">IF(AND(D26:D374&gt;40, K26:K374&lt;300, H26:H374&lt;8000), "Not Eligible", "Eligible")</f>
        <v>Eligible</v>
      </c>
      <c r="X26" t="str">
        <f t="shared" si="1"/>
        <v>Bad</v>
      </c>
      <c r="Y26" t="str">
        <f t="shared" si="2"/>
        <v/>
      </c>
      <c r="Z26" t="b">
        <v>1</v>
      </c>
    </row>
    <row r="27" spans="1:26" x14ac:dyDescent="0.3">
      <c r="A27" s="6">
        <v>26</v>
      </c>
      <c r="B27" s="6" t="s">
        <v>29</v>
      </c>
      <c r="C27" s="6" t="s">
        <v>74</v>
      </c>
      <c r="D27" s="6">
        <v>50</v>
      </c>
      <c r="E27" s="6" t="s">
        <v>14</v>
      </c>
      <c r="F27" s="6" t="s">
        <v>22</v>
      </c>
      <c r="G27" s="6">
        <v>3000</v>
      </c>
      <c r="H27" s="6">
        <v>47000</v>
      </c>
      <c r="I27" s="6" t="s">
        <v>23</v>
      </c>
      <c r="J27" s="6">
        <v>8000</v>
      </c>
      <c r="K27" s="6">
        <v>680</v>
      </c>
      <c r="L27" s="6" t="s">
        <v>24</v>
      </c>
      <c r="M27" s="6" t="s">
        <v>82</v>
      </c>
      <c r="N27" s="6" t="s">
        <v>18</v>
      </c>
      <c r="O27" s="5">
        <v>13</v>
      </c>
      <c r="P27">
        <v>5.875</v>
      </c>
      <c r="Q27" t="b">
        <v>1</v>
      </c>
      <c r="R27" s="5" t="str">
        <v>Even</v>
      </c>
      <c r="S27">
        <f t="shared" si="0"/>
        <v>235</v>
      </c>
      <c r="T27" t="str">
        <v>Good</v>
      </c>
      <c r="U27" t="str">
        <v/>
      </c>
      <c r="V27" t="b">
        <v>0</v>
      </c>
      <c r="W27" t="str" cm="1">
        <f t="array" ref="W27">IF(AND(D27:D375&gt;40, K27:K375&lt;300, H27:H375&lt;8000), "Not Eligible", "Eligible")</f>
        <v>Eligible</v>
      </c>
      <c r="X27" t="str">
        <f t="shared" si="1"/>
        <v>Good</v>
      </c>
      <c r="Y27" t="str">
        <f t="shared" si="2"/>
        <v>In Progress</v>
      </c>
      <c r="Z27" t="b">
        <v>0</v>
      </c>
    </row>
    <row r="28" spans="1:26" x14ac:dyDescent="0.3">
      <c r="A28" s="6">
        <v>27</v>
      </c>
      <c r="B28" s="6" t="s">
        <v>75</v>
      </c>
      <c r="C28" s="6" t="s">
        <v>76</v>
      </c>
      <c r="D28" s="6">
        <v>28</v>
      </c>
      <c r="E28" s="6" t="s">
        <v>21</v>
      </c>
      <c r="F28" s="6" t="s">
        <v>15</v>
      </c>
      <c r="G28" s="6">
        <v>4000</v>
      </c>
      <c r="H28" s="6">
        <v>53000</v>
      </c>
      <c r="I28" s="6" t="s">
        <v>16</v>
      </c>
      <c r="J28" s="6">
        <v>0</v>
      </c>
      <c r="K28" s="6">
        <v>690</v>
      </c>
      <c r="L28" s="6" t="s">
        <v>28</v>
      </c>
      <c r="M28" s="6" t="s">
        <v>80</v>
      </c>
      <c r="N28" s="6" t="s">
        <v>25</v>
      </c>
      <c r="O28" s="5">
        <v>7</v>
      </c>
      <c r="P28" t="e">
        <v>#DIV/0!</v>
      </c>
      <c r="Q28" t="b">
        <v>0</v>
      </c>
      <c r="R28" s="5" t="str">
        <v>Even</v>
      </c>
      <c r="S28">
        <f t="shared" si="0"/>
        <v>179</v>
      </c>
      <c r="T28" t="str">
        <v/>
      </c>
      <c r="U28" t="str">
        <v>Bad</v>
      </c>
      <c r="V28" t="b">
        <v>0</v>
      </c>
      <c r="W28" t="str" cm="1">
        <f t="array" ref="W28">IF(AND(D28:D376&gt;40, K28:K376&lt;300, H28:H376&lt;8000), "Not Eligible", "Eligible")</f>
        <v>Eligible</v>
      </c>
      <c r="X28" t="str">
        <f t="shared" si="1"/>
        <v>Bad</v>
      </c>
      <c r="Y28" t="str">
        <f t="shared" si="2"/>
        <v/>
      </c>
      <c r="Z28" t="b">
        <v>1</v>
      </c>
    </row>
    <row r="29" spans="1:26" x14ac:dyDescent="0.3">
      <c r="A29" s="6">
        <v>28</v>
      </c>
      <c r="B29" s="6" t="s">
        <v>38</v>
      </c>
      <c r="C29" s="6" t="s">
        <v>35</v>
      </c>
      <c r="D29" s="6">
        <v>36</v>
      </c>
      <c r="E29" s="6" t="s">
        <v>14</v>
      </c>
      <c r="F29" s="6" t="s">
        <v>22</v>
      </c>
      <c r="G29" s="6">
        <v>9000</v>
      </c>
      <c r="H29" s="6">
        <v>71000</v>
      </c>
      <c r="I29" s="6" t="s">
        <v>23</v>
      </c>
      <c r="J29" s="6">
        <v>13000</v>
      </c>
      <c r="K29" s="6">
        <v>700</v>
      </c>
      <c r="L29" s="6" t="s">
        <v>31</v>
      </c>
      <c r="M29" s="6" t="s">
        <v>81</v>
      </c>
      <c r="N29" s="6" t="s">
        <v>18</v>
      </c>
      <c r="O29" s="5">
        <v>4</v>
      </c>
      <c r="P29">
        <v>5.4615384615384617</v>
      </c>
      <c r="Q29" t="b">
        <v>1</v>
      </c>
      <c r="R29" s="5" t="str">
        <v>Even</v>
      </c>
      <c r="S29">
        <f t="shared" si="0"/>
        <v>135</v>
      </c>
      <c r="T29" t="str">
        <v>Good</v>
      </c>
      <c r="U29" t="str">
        <v/>
      </c>
      <c r="V29" t="b">
        <v>0</v>
      </c>
      <c r="W29" t="str" cm="1">
        <f t="array" ref="W29">IF(AND(D29:D377&gt;40, K29:K377&lt;300, H29:H377&lt;8000), "Not Eligible", "Eligible")</f>
        <v>Eligible</v>
      </c>
      <c r="X29" t="str">
        <f t="shared" si="1"/>
        <v>Good</v>
      </c>
      <c r="Y29" t="str">
        <f t="shared" si="2"/>
        <v>In Progress</v>
      </c>
      <c r="Z29" t="b">
        <v>0</v>
      </c>
    </row>
    <row r="30" spans="1:26" x14ac:dyDescent="0.3">
      <c r="A30" s="6">
        <v>29</v>
      </c>
      <c r="B30" s="6" t="s">
        <v>77</v>
      </c>
      <c r="C30" s="6" t="s">
        <v>78</v>
      </c>
      <c r="D30" s="6">
        <v>41</v>
      </c>
      <c r="E30" s="6" t="s">
        <v>21</v>
      </c>
      <c r="F30" s="6" t="s">
        <v>15</v>
      </c>
      <c r="G30" s="6">
        <v>8000</v>
      </c>
      <c r="H30" s="6">
        <v>67000</v>
      </c>
      <c r="I30" s="6" t="s">
        <v>16</v>
      </c>
      <c r="J30" s="6">
        <v>0</v>
      </c>
      <c r="K30" s="6">
        <v>710</v>
      </c>
      <c r="L30" s="6" t="s">
        <v>17</v>
      </c>
      <c r="M30" s="6" t="s">
        <v>82</v>
      </c>
      <c r="N30" s="6" t="s">
        <v>25</v>
      </c>
      <c r="O30" s="5">
        <v>14</v>
      </c>
      <c r="P30" t="e">
        <v>#DIV/0!</v>
      </c>
      <c r="Q30" t="b">
        <v>0</v>
      </c>
      <c r="R30" s="5" t="str">
        <v>Odd</v>
      </c>
      <c r="S30">
        <f t="shared" si="0"/>
        <v>86</v>
      </c>
      <c r="T30" t="str">
        <v/>
      </c>
      <c r="U30" t="str">
        <v>Bad</v>
      </c>
      <c r="V30" t="b">
        <v>0</v>
      </c>
      <c r="W30" t="str" cm="1">
        <f t="array" ref="W30">IF(AND(D30:D378&gt;40, K30:K378&lt;300, H30:H378&lt;8000), "Not Eligible", "Eligible")</f>
        <v>Eligible</v>
      </c>
      <c r="X30" t="str">
        <f t="shared" si="1"/>
        <v>Bad</v>
      </c>
      <c r="Y30" t="str">
        <f t="shared" si="2"/>
        <v/>
      </c>
      <c r="Z30" t="b">
        <v>1</v>
      </c>
    </row>
    <row r="31" spans="1:26" x14ac:dyDescent="0.3">
      <c r="A31" s="6">
        <v>30</v>
      </c>
      <c r="B31" s="6" t="s">
        <v>79</v>
      </c>
      <c r="C31" s="6" t="s">
        <v>53</v>
      </c>
      <c r="D31" s="6">
        <v>30</v>
      </c>
      <c r="E31" s="6" t="s">
        <v>14</v>
      </c>
      <c r="F31" s="6" t="s">
        <v>22</v>
      </c>
      <c r="G31" s="6">
        <v>5000</v>
      </c>
      <c r="H31" s="6">
        <v>55000</v>
      </c>
      <c r="I31" s="6" t="s">
        <v>23</v>
      </c>
      <c r="J31" s="6">
        <v>7000</v>
      </c>
      <c r="K31" s="6">
        <v>690</v>
      </c>
      <c r="L31" s="6" t="s">
        <v>24</v>
      </c>
      <c r="M31" s="6" t="s">
        <v>82</v>
      </c>
      <c r="N31" s="6" t="s">
        <v>18</v>
      </c>
      <c r="O31" s="5">
        <v>5</v>
      </c>
      <c r="P31">
        <v>7.8571428571428568</v>
      </c>
      <c r="Q31" t="b">
        <v>1</v>
      </c>
      <c r="R31" s="5" t="str">
        <v>Even</v>
      </c>
      <c r="S31">
        <f t="shared" si="0"/>
        <v>177</v>
      </c>
      <c r="T31" t="str">
        <v>Good</v>
      </c>
      <c r="U31" t="str">
        <v/>
      </c>
      <c r="V31" t="b">
        <v>0</v>
      </c>
      <c r="W31" t="str" cm="1">
        <f t="array" ref="W31">IF(AND(D31:D379&gt;40, K31:K379&lt;300, H31:H379&lt;8000), "Not Eligible", "Eligible")</f>
        <v>Eligible</v>
      </c>
      <c r="X31" t="str">
        <f t="shared" si="1"/>
        <v>Good</v>
      </c>
      <c r="Y31" t="str">
        <f t="shared" si="2"/>
        <v>In Progress</v>
      </c>
      <c r="Z31" t="b">
        <v>0</v>
      </c>
    </row>
    <row r="32" spans="1:26" x14ac:dyDescent="0.3">
      <c r="A32" s="6">
        <v>31</v>
      </c>
      <c r="B32" s="6" t="s">
        <v>40</v>
      </c>
      <c r="C32" s="6" t="s">
        <v>73</v>
      </c>
      <c r="D32" s="6">
        <v>29</v>
      </c>
      <c r="E32" s="6" t="s">
        <v>21</v>
      </c>
      <c r="F32" s="6" t="s">
        <v>15</v>
      </c>
      <c r="G32" s="6">
        <v>3000</v>
      </c>
      <c r="H32" s="6">
        <v>48000</v>
      </c>
      <c r="I32" s="6" t="s">
        <v>16</v>
      </c>
      <c r="J32" s="6">
        <v>0</v>
      </c>
      <c r="K32" s="6">
        <v>670</v>
      </c>
      <c r="L32" s="6" t="s">
        <v>28</v>
      </c>
      <c r="M32" s="6" t="s">
        <v>80</v>
      </c>
      <c r="N32" s="6" t="s">
        <v>25</v>
      </c>
      <c r="O32" s="5">
        <v>10</v>
      </c>
      <c r="P32" t="e">
        <v>#DIV/0!</v>
      </c>
      <c r="Q32" t="b">
        <v>0</v>
      </c>
      <c r="R32" s="5" t="str">
        <v>Odd</v>
      </c>
      <c r="S32">
        <f t="shared" si="0"/>
        <v>292</v>
      </c>
      <c r="T32" t="str">
        <v/>
      </c>
      <c r="U32" t="str">
        <v>Bad</v>
      </c>
      <c r="V32" t="b">
        <v>0</v>
      </c>
      <c r="W32" t="str" cm="1">
        <f t="array" ref="W32">IF(AND(D32:D380&gt;40, K32:K380&lt;300, H32:H380&lt;8000), "Not Eligible", "Eligible")</f>
        <v>Eligible</v>
      </c>
      <c r="X32" t="str">
        <f t="shared" si="1"/>
        <v>Bad</v>
      </c>
      <c r="Y32" t="str">
        <f t="shared" si="2"/>
        <v/>
      </c>
      <c r="Z32" t="b">
        <v>1</v>
      </c>
    </row>
    <row r="33" spans="1:26" x14ac:dyDescent="0.3">
      <c r="A33" s="6">
        <v>32</v>
      </c>
      <c r="B33" s="6" t="s">
        <v>42</v>
      </c>
      <c r="C33" s="6" t="s">
        <v>41</v>
      </c>
      <c r="D33" s="6">
        <v>34</v>
      </c>
      <c r="E33" s="6" t="s">
        <v>14</v>
      </c>
      <c r="F33" s="6" t="s">
        <v>22</v>
      </c>
      <c r="G33" s="6">
        <v>11000</v>
      </c>
      <c r="H33" s="6">
        <v>62000</v>
      </c>
      <c r="I33" s="6" t="s">
        <v>23</v>
      </c>
      <c r="J33" s="6">
        <v>12000</v>
      </c>
      <c r="K33" s="6">
        <v>720</v>
      </c>
      <c r="L33" s="6" t="s">
        <v>31</v>
      </c>
      <c r="M33" s="6" t="s">
        <v>80</v>
      </c>
      <c r="N33" s="6" t="s">
        <v>18</v>
      </c>
      <c r="O33" s="5">
        <v>10</v>
      </c>
      <c r="P33">
        <v>5.166666666666667</v>
      </c>
      <c r="Q33" t="b">
        <v>1</v>
      </c>
      <c r="R33" s="5" t="str">
        <v>Even</v>
      </c>
      <c r="S33">
        <f t="shared" si="0"/>
        <v>21</v>
      </c>
      <c r="T33" t="str">
        <v>Good</v>
      </c>
      <c r="U33" t="str">
        <v/>
      </c>
      <c r="V33" t="b">
        <v>0</v>
      </c>
      <c r="W33" t="str" cm="1">
        <f t="array" ref="W33">IF(AND(D33:D381&gt;40, K33:K381&lt;300, H33:H381&lt;8000), "Not Eligible", "Eligible")</f>
        <v>Eligible</v>
      </c>
      <c r="X33" t="str">
        <f t="shared" si="1"/>
        <v>Good</v>
      </c>
      <c r="Y33" t="str">
        <f t="shared" si="2"/>
        <v>In Progress</v>
      </c>
      <c r="Z33" t="b">
        <v>0</v>
      </c>
    </row>
    <row r="34" spans="1:26" x14ac:dyDescent="0.3">
      <c r="A34" s="6">
        <v>33</v>
      </c>
      <c r="B34" s="6" t="s">
        <v>48</v>
      </c>
      <c r="C34" s="6" t="s">
        <v>71</v>
      </c>
      <c r="D34" s="6">
        <v>37</v>
      </c>
      <c r="E34" s="6" t="s">
        <v>21</v>
      </c>
      <c r="F34" s="6" t="s">
        <v>15</v>
      </c>
      <c r="G34" s="6">
        <v>5500</v>
      </c>
      <c r="H34" s="6">
        <v>69000</v>
      </c>
      <c r="I34" s="6" t="s">
        <v>16</v>
      </c>
      <c r="J34" s="6">
        <v>0</v>
      </c>
      <c r="K34" s="6">
        <v>710</v>
      </c>
      <c r="L34" s="6" t="s">
        <v>17</v>
      </c>
      <c r="M34" s="6" t="s">
        <v>80</v>
      </c>
      <c r="N34" s="6" t="s">
        <v>25</v>
      </c>
      <c r="O34" s="5">
        <v>7</v>
      </c>
      <c r="P34" t="e">
        <v>#DIV/0!</v>
      </c>
      <c r="Q34" t="b">
        <v>0</v>
      </c>
      <c r="R34" s="5" t="str">
        <v>Odd</v>
      </c>
      <c r="S34">
        <f t="shared" si="0"/>
        <v>85</v>
      </c>
      <c r="T34" t="str">
        <v/>
      </c>
      <c r="U34" t="str">
        <v>Bad</v>
      </c>
      <c r="V34" t="b">
        <v>0</v>
      </c>
      <c r="W34" t="str" cm="1">
        <f t="array" ref="W34">IF(AND(D34:D382&gt;40, K34:K382&lt;300, H34:H382&lt;8000), "Not Eligible", "Eligible")</f>
        <v>Eligible</v>
      </c>
      <c r="X34" t="str">
        <f t="shared" si="1"/>
        <v>Bad</v>
      </c>
      <c r="Y34" t="str">
        <f t="shared" si="2"/>
        <v/>
      </c>
      <c r="Z34" t="b">
        <v>1</v>
      </c>
    </row>
    <row r="35" spans="1:26" x14ac:dyDescent="0.3">
      <c r="A35" s="6">
        <v>34</v>
      </c>
      <c r="B35" s="6" t="s">
        <v>54</v>
      </c>
      <c r="C35" s="6" t="s">
        <v>20</v>
      </c>
      <c r="D35" s="6">
        <v>45</v>
      </c>
      <c r="E35" s="6" t="s">
        <v>14</v>
      </c>
      <c r="F35" s="6" t="s">
        <v>15</v>
      </c>
      <c r="G35" s="6">
        <v>7000</v>
      </c>
      <c r="H35" s="6">
        <v>74000</v>
      </c>
      <c r="I35" s="6" t="s">
        <v>23</v>
      </c>
      <c r="J35" s="6">
        <v>15000</v>
      </c>
      <c r="K35" s="6">
        <v>680</v>
      </c>
      <c r="L35" s="6" t="s">
        <v>24</v>
      </c>
      <c r="M35" s="6" t="s">
        <v>80</v>
      </c>
      <c r="N35" s="6" t="s">
        <v>18</v>
      </c>
      <c r="O35" s="5">
        <v>5</v>
      </c>
      <c r="P35">
        <v>4.9333333333333336</v>
      </c>
      <c r="Q35" t="b">
        <v>1</v>
      </c>
      <c r="R35" s="5" t="str">
        <v>Odd</v>
      </c>
      <c r="S35">
        <f t="shared" si="0"/>
        <v>229</v>
      </c>
      <c r="T35" t="str">
        <v>Good</v>
      </c>
      <c r="U35" t="str">
        <v/>
      </c>
      <c r="V35" t="b">
        <v>0</v>
      </c>
      <c r="W35" t="str" cm="1">
        <f t="array" ref="W35">IF(AND(D35:D383&gt;40, K35:K383&lt;300, H35:H383&lt;8000), "Not Eligible", "Eligible")</f>
        <v>Eligible</v>
      </c>
      <c r="X35" t="str">
        <f t="shared" si="1"/>
        <v>Good</v>
      </c>
      <c r="Y35" t="str">
        <f t="shared" si="2"/>
        <v>In Progress</v>
      </c>
      <c r="Z35" t="b">
        <v>0</v>
      </c>
    </row>
    <row r="36" spans="1:26" x14ac:dyDescent="0.3">
      <c r="A36" s="6">
        <v>35</v>
      </c>
      <c r="B36" s="6" t="s">
        <v>64</v>
      </c>
      <c r="C36" s="6" t="s">
        <v>27</v>
      </c>
      <c r="D36" s="6">
        <v>40</v>
      </c>
      <c r="E36" s="6" t="s">
        <v>21</v>
      </c>
      <c r="F36" s="6" t="s">
        <v>15</v>
      </c>
      <c r="G36" s="6">
        <v>2000</v>
      </c>
      <c r="H36" s="6">
        <v>50000</v>
      </c>
      <c r="I36" s="6" t="s">
        <v>16</v>
      </c>
      <c r="J36" s="6">
        <v>0</v>
      </c>
      <c r="K36" s="6">
        <v>720</v>
      </c>
      <c r="L36" s="6" t="s">
        <v>28</v>
      </c>
      <c r="M36" s="6" t="s">
        <v>80</v>
      </c>
      <c r="N36" s="6" t="s">
        <v>25</v>
      </c>
      <c r="O36" s="5">
        <v>15</v>
      </c>
      <c r="P36" t="e">
        <v>#DIV/0!</v>
      </c>
      <c r="Q36" t="b">
        <v>0</v>
      </c>
      <c r="R36" s="5" t="str">
        <v>Even</v>
      </c>
      <c r="S36">
        <f t="shared" si="0"/>
        <v>21</v>
      </c>
      <c r="T36" t="str">
        <v/>
      </c>
      <c r="U36" t="str">
        <v>Bad</v>
      </c>
      <c r="V36" t="b">
        <v>0</v>
      </c>
      <c r="W36" t="str" cm="1">
        <f t="array" ref="W36">IF(AND(D36:D384&gt;40, K36:K384&lt;300, H36:H384&lt;8000), "Not Eligible", "Eligible")</f>
        <v>Eligible</v>
      </c>
      <c r="X36" t="str">
        <f t="shared" si="1"/>
        <v>Bad</v>
      </c>
      <c r="Y36" t="str">
        <f t="shared" si="2"/>
        <v/>
      </c>
      <c r="Z36" t="b">
        <v>1</v>
      </c>
    </row>
    <row r="37" spans="1:26" x14ac:dyDescent="0.3">
      <c r="A37" s="6">
        <v>36</v>
      </c>
      <c r="B37" s="6" t="s">
        <v>34</v>
      </c>
      <c r="C37" s="6" t="s">
        <v>45</v>
      </c>
      <c r="D37" s="6">
        <v>27</v>
      </c>
      <c r="E37" s="6" t="s">
        <v>14</v>
      </c>
      <c r="F37" s="6" t="s">
        <v>22</v>
      </c>
      <c r="G37" s="6">
        <v>6000</v>
      </c>
      <c r="H37" s="6">
        <v>55000</v>
      </c>
      <c r="I37" s="6" t="s">
        <v>23</v>
      </c>
      <c r="J37" s="6">
        <v>10000</v>
      </c>
      <c r="K37" s="6">
        <v>690</v>
      </c>
      <c r="L37" s="6" t="s">
        <v>31</v>
      </c>
      <c r="M37" s="6" t="s">
        <v>80</v>
      </c>
      <c r="N37" s="6" t="s">
        <v>18</v>
      </c>
      <c r="O37" s="5">
        <v>4</v>
      </c>
      <c r="P37">
        <v>5.5</v>
      </c>
      <c r="Q37" t="b">
        <v>1</v>
      </c>
      <c r="R37" s="5" t="str">
        <v>Odd</v>
      </c>
      <c r="S37">
        <f t="shared" si="0"/>
        <v>174</v>
      </c>
      <c r="T37" t="str">
        <v>Good</v>
      </c>
      <c r="U37" t="str">
        <v/>
      </c>
      <c r="V37" t="b">
        <v>0</v>
      </c>
      <c r="W37" t="str" cm="1">
        <f t="array" ref="W37">IF(AND(D37:D385&gt;40, K37:K385&lt;300, H37:H385&lt;8000), "Not Eligible", "Eligible")</f>
        <v>Eligible</v>
      </c>
      <c r="X37" t="str">
        <f t="shared" si="1"/>
        <v>Good</v>
      </c>
      <c r="Y37" t="str">
        <f t="shared" si="2"/>
        <v>In Progress</v>
      </c>
      <c r="Z37" t="b">
        <v>0</v>
      </c>
    </row>
    <row r="38" spans="1:26" x14ac:dyDescent="0.3">
      <c r="A38" s="6">
        <v>37</v>
      </c>
      <c r="B38" s="6" t="s">
        <v>44</v>
      </c>
      <c r="C38" s="6" t="s">
        <v>78</v>
      </c>
      <c r="D38" s="6">
        <v>31</v>
      </c>
      <c r="E38" s="6" t="s">
        <v>21</v>
      </c>
      <c r="F38" s="6" t="s">
        <v>15</v>
      </c>
      <c r="G38" s="6">
        <v>3500</v>
      </c>
      <c r="H38" s="6">
        <v>62000</v>
      </c>
      <c r="I38" s="6" t="s">
        <v>16</v>
      </c>
      <c r="J38" s="6">
        <v>0</v>
      </c>
      <c r="K38" s="6">
        <v>680</v>
      </c>
      <c r="L38" s="6" t="s">
        <v>17</v>
      </c>
      <c r="M38" s="6" t="s">
        <v>82</v>
      </c>
      <c r="N38" s="6" t="s">
        <v>25</v>
      </c>
      <c r="O38" s="5">
        <v>15</v>
      </c>
      <c r="P38" t="e">
        <v>#DIV/0!</v>
      </c>
      <c r="Q38" t="b">
        <v>0</v>
      </c>
      <c r="R38" s="5" t="str">
        <v>Odd</v>
      </c>
      <c r="S38">
        <f t="shared" si="0"/>
        <v>227</v>
      </c>
      <c r="T38" t="str">
        <v/>
      </c>
      <c r="U38" t="str">
        <v>Bad</v>
      </c>
      <c r="V38" t="b">
        <v>0</v>
      </c>
      <c r="W38" t="str" cm="1">
        <f t="array" ref="W38">IF(AND(D38:D386&gt;40, K38:K386&lt;300, H38:H386&lt;8000), "Not Eligible", "Eligible")</f>
        <v>Eligible</v>
      </c>
      <c r="X38" t="str">
        <f t="shared" si="1"/>
        <v>Bad</v>
      </c>
      <c r="Y38" t="str">
        <f t="shared" si="2"/>
        <v/>
      </c>
      <c r="Z38" t="b">
        <v>1</v>
      </c>
    </row>
    <row r="39" spans="1:26" x14ac:dyDescent="0.3">
      <c r="A39" s="6">
        <v>38</v>
      </c>
      <c r="B39" s="6" t="s">
        <v>50</v>
      </c>
      <c r="C39" s="6" t="s">
        <v>47</v>
      </c>
      <c r="D39" s="6">
        <v>53</v>
      </c>
      <c r="E39" s="6" t="s">
        <v>14</v>
      </c>
      <c r="F39" s="6" t="s">
        <v>22</v>
      </c>
      <c r="G39" s="6">
        <v>4000</v>
      </c>
      <c r="H39" s="6">
        <v>48000</v>
      </c>
      <c r="I39" s="6" t="s">
        <v>23</v>
      </c>
      <c r="J39" s="6">
        <v>5000</v>
      </c>
      <c r="K39" s="6">
        <v>710</v>
      </c>
      <c r="L39" s="6" t="s">
        <v>24</v>
      </c>
      <c r="M39" s="6" t="s">
        <v>82</v>
      </c>
      <c r="N39" s="6" t="s">
        <v>18</v>
      </c>
      <c r="O39" s="5" t="s">
        <v>319</v>
      </c>
      <c r="P39">
        <v>9.6</v>
      </c>
      <c r="Q39" t="b">
        <v>1</v>
      </c>
      <c r="R39" s="5" t="str">
        <v>Odd</v>
      </c>
      <c r="S39">
        <f t="shared" si="0"/>
        <v>84</v>
      </c>
      <c r="T39" t="str">
        <v>Good</v>
      </c>
      <c r="U39" t="str">
        <v/>
      </c>
      <c r="V39" t="b">
        <v>1</v>
      </c>
      <c r="W39" t="str" cm="1">
        <f t="array" ref="W39">IF(AND(D39:D387&gt;40, K39:K387&lt;300, H39:H387&lt;8000), "Not Eligible", "Eligible")</f>
        <v>Eligible</v>
      </c>
      <c r="X39" t="str">
        <f t="shared" si="1"/>
        <v>Good</v>
      </c>
      <c r="Y39" t="str">
        <f t="shared" si="2"/>
        <v>In Progress</v>
      </c>
      <c r="Z39" t="b">
        <v>0</v>
      </c>
    </row>
    <row r="40" spans="1:26" x14ac:dyDescent="0.3">
      <c r="A40" s="6">
        <v>39</v>
      </c>
      <c r="B40" s="6" t="s">
        <v>60</v>
      </c>
      <c r="C40" s="6" t="s">
        <v>67</v>
      </c>
      <c r="D40" s="6">
        <v>28</v>
      </c>
      <c r="E40" s="6" t="s">
        <v>21</v>
      </c>
      <c r="F40" s="6" t="s">
        <v>15</v>
      </c>
      <c r="G40" s="6">
        <v>5500</v>
      </c>
      <c r="H40" s="6">
        <v>59000</v>
      </c>
      <c r="I40" s="6" t="s">
        <v>16</v>
      </c>
      <c r="J40" s="6">
        <v>0</v>
      </c>
      <c r="K40" s="6">
        <v>700</v>
      </c>
      <c r="L40" s="6" t="s">
        <v>28</v>
      </c>
      <c r="M40" s="6" t="s">
        <v>82</v>
      </c>
      <c r="N40" s="6" t="s">
        <v>25</v>
      </c>
      <c r="O40" s="5">
        <v>14</v>
      </c>
      <c r="P40" t="e">
        <v>#DIV/0!</v>
      </c>
      <c r="Q40" t="b">
        <v>0</v>
      </c>
      <c r="R40" s="5" t="str">
        <v>Even</v>
      </c>
      <c r="S40">
        <f t="shared" si="0"/>
        <v>130</v>
      </c>
      <c r="T40" t="str">
        <v/>
      </c>
      <c r="U40" t="str">
        <v>Bad</v>
      </c>
      <c r="V40" t="b">
        <v>0</v>
      </c>
      <c r="W40" t="str" cm="1">
        <f t="array" ref="W40">IF(AND(D40:D388&gt;40, K40:K388&lt;300, H40:H388&lt;8000), "Not Eligible", "Eligible")</f>
        <v>Eligible</v>
      </c>
      <c r="X40" t="str">
        <f t="shared" si="1"/>
        <v>Bad</v>
      </c>
      <c r="Y40" t="str">
        <f t="shared" si="2"/>
        <v/>
      </c>
      <c r="Z40" t="b">
        <v>1</v>
      </c>
    </row>
    <row r="41" spans="1:26" x14ac:dyDescent="0.3">
      <c r="A41" s="6">
        <v>40</v>
      </c>
      <c r="B41" s="6" t="s">
        <v>62</v>
      </c>
      <c r="C41" s="6" t="s">
        <v>33</v>
      </c>
      <c r="D41" s="6">
        <v>46</v>
      </c>
      <c r="E41" s="6" t="s">
        <v>14</v>
      </c>
      <c r="F41" s="6" t="s">
        <v>22</v>
      </c>
      <c r="G41" s="6">
        <v>9000</v>
      </c>
      <c r="H41" s="6">
        <v>73000</v>
      </c>
      <c r="I41" s="6" t="s">
        <v>23</v>
      </c>
      <c r="J41" s="6">
        <v>13000</v>
      </c>
      <c r="K41" s="6">
        <v>720</v>
      </c>
      <c r="L41" s="6" t="s">
        <v>31</v>
      </c>
      <c r="M41" s="6" t="s">
        <v>82</v>
      </c>
      <c r="N41" s="6" t="s">
        <v>18</v>
      </c>
      <c r="O41" s="5">
        <v>8</v>
      </c>
      <c r="P41">
        <v>5.615384615384615</v>
      </c>
      <c r="Q41" t="b">
        <v>1</v>
      </c>
      <c r="R41" s="5" t="str">
        <v>Even</v>
      </c>
      <c r="S41">
        <f t="shared" si="0"/>
        <v>21</v>
      </c>
      <c r="T41" t="str">
        <v>Good</v>
      </c>
      <c r="U41" t="str">
        <v/>
      </c>
      <c r="V41" t="b">
        <v>0</v>
      </c>
      <c r="W41" t="str" cm="1">
        <f t="array" ref="W41">IF(AND(D41:D389&gt;40, K41:K389&lt;300, H41:H389&lt;8000), "Not Eligible", "Eligible")</f>
        <v>Eligible</v>
      </c>
      <c r="X41" t="str">
        <f t="shared" si="1"/>
        <v>Good</v>
      </c>
      <c r="Y41" t="str">
        <f t="shared" si="2"/>
        <v>In Progress</v>
      </c>
      <c r="Z41" t="b">
        <v>0</v>
      </c>
    </row>
    <row r="42" spans="1:26" x14ac:dyDescent="0.3">
      <c r="A42" s="6">
        <v>41</v>
      </c>
      <c r="B42" s="6" t="s">
        <v>68</v>
      </c>
      <c r="C42" s="6" t="s">
        <v>53</v>
      </c>
      <c r="D42" s="6">
        <v>39</v>
      </c>
      <c r="E42" s="6" t="s">
        <v>21</v>
      </c>
      <c r="F42" s="6" t="s">
        <v>15</v>
      </c>
      <c r="G42" s="6">
        <v>4000</v>
      </c>
      <c r="H42" s="6">
        <v>65000</v>
      </c>
      <c r="I42" s="6" t="s">
        <v>16</v>
      </c>
      <c r="J42" s="6">
        <v>0</v>
      </c>
      <c r="K42" s="6">
        <v>680</v>
      </c>
      <c r="L42" s="6" t="s">
        <v>17</v>
      </c>
      <c r="M42" s="6" t="s">
        <v>82</v>
      </c>
      <c r="N42" s="6" t="s">
        <v>25</v>
      </c>
      <c r="O42" s="5">
        <v>15</v>
      </c>
      <c r="P42" t="e">
        <v>#DIV/0!</v>
      </c>
      <c r="Q42" t="b">
        <v>0</v>
      </c>
      <c r="R42" s="5" t="str">
        <v>Odd</v>
      </c>
      <c r="S42">
        <f t="shared" si="0"/>
        <v>224</v>
      </c>
      <c r="T42" t="str">
        <v/>
      </c>
      <c r="U42" t="str">
        <v>Bad</v>
      </c>
      <c r="V42" t="b">
        <v>0</v>
      </c>
      <c r="W42" t="str" cm="1">
        <f t="array" ref="W42">IF(AND(D42:D390&gt;40, K42:K390&lt;300, H42:H390&lt;8000), "Not Eligible", "Eligible")</f>
        <v>Eligible</v>
      </c>
      <c r="X42" t="str">
        <f t="shared" si="1"/>
        <v>Bad</v>
      </c>
      <c r="Y42" t="str">
        <f t="shared" si="2"/>
        <v/>
      </c>
      <c r="Z42" t="b">
        <v>1</v>
      </c>
    </row>
    <row r="43" spans="1:26" x14ac:dyDescent="0.3">
      <c r="A43" s="6">
        <v>42</v>
      </c>
      <c r="B43" s="6" t="s">
        <v>58</v>
      </c>
      <c r="C43" s="6" t="s">
        <v>35</v>
      </c>
      <c r="D43" s="6">
        <v>27</v>
      </c>
      <c r="E43" s="6" t="s">
        <v>14</v>
      </c>
      <c r="F43" s="6" t="s">
        <v>22</v>
      </c>
      <c r="G43" s="6">
        <v>8000</v>
      </c>
      <c r="H43" s="6">
        <v>60000</v>
      </c>
      <c r="I43" s="6" t="s">
        <v>23</v>
      </c>
      <c r="J43" s="6">
        <v>8000</v>
      </c>
      <c r="K43" s="6">
        <v>710</v>
      </c>
      <c r="L43" s="6" t="s">
        <v>24</v>
      </c>
      <c r="M43" s="6" t="s">
        <v>82</v>
      </c>
      <c r="N43" s="6" t="s">
        <v>18</v>
      </c>
      <c r="O43" s="5">
        <v>9</v>
      </c>
      <c r="P43">
        <v>7.5</v>
      </c>
      <c r="Q43" t="b">
        <v>1</v>
      </c>
      <c r="R43" s="5" t="str">
        <v>Odd</v>
      </c>
      <c r="S43">
        <f t="shared" si="0"/>
        <v>83</v>
      </c>
      <c r="T43" t="str">
        <v>Good</v>
      </c>
      <c r="U43" t="str">
        <v/>
      </c>
      <c r="V43" t="b">
        <v>0</v>
      </c>
      <c r="W43" t="str" cm="1">
        <f t="array" ref="W43">IF(AND(D43:D391&gt;40, K43:K391&lt;300, H43:H391&lt;8000), "Not Eligible", "Eligible")</f>
        <v>Eligible</v>
      </c>
      <c r="X43" t="str">
        <f t="shared" si="1"/>
        <v>Good</v>
      </c>
      <c r="Y43" t="str">
        <f t="shared" si="2"/>
        <v>In Progress</v>
      </c>
      <c r="Z43" t="b">
        <v>0</v>
      </c>
    </row>
    <row r="44" spans="1:26" x14ac:dyDescent="0.3">
      <c r="A44" s="6">
        <v>43</v>
      </c>
      <c r="B44" s="6" t="s">
        <v>72</v>
      </c>
      <c r="C44" s="6" t="s">
        <v>73</v>
      </c>
      <c r="D44" s="6">
        <v>34</v>
      </c>
      <c r="E44" s="6" t="s">
        <v>21</v>
      </c>
      <c r="F44" s="6" t="s">
        <v>15</v>
      </c>
      <c r="G44" s="6">
        <v>2500</v>
      </c>
      <c r="H44" s="6">
        <v>53000</v>
      </c>
      <c r="I44" s="6" t="s">
        <v>16</v>
      </c>
      <c r="J44" s="6">
        <v>0</v>
      </c>
      <c r="K44" s="6">
        <v>690</v>
      </c>
      <c r="L44" s="6" t="s">
        <v>28</v>
      </c>
      <c r="M44" s="6" t="s">
        <v>81</v>
      </c>
      <c r="N44" s="6" t="s">
        <v>25</v>
      </c>
      <c r="O44" s="5">
        <v>4</v>
      </c>
      <c r="P44" t="e">
        <v>#DIV/0!</v>
      </c>
      <c r="Q44" t="b">
        <v>0</v>
      </c>
      <c r="R44" s="5" t="str">
        <v>Even</v>
      </c>
      <c r="S44">
        <f t="shared" si="0"/>
        <v>170</v>
      </c>
      <c r="T44" t="str">
        <v/>
      </c>
      <c r="U44" t="str">
        <v>Bad</v>
      </c>
      <c r="V44" t="b">
        <v>0</v>
      </c>
      <c r="W44" t="str" cm="1">
        <f t="array" ref="W44">IF(AND(D44:D392&gt;40, K44:K392&lt;300, H44:H392&lt;8000), "Not Eligible", "Eligible")</f>
        <v>Eligible</v>
      </c>
      <c r="X44" t="str">
        <f t="shared" si="1"/>
        <v>Bad</v>
      </c>
      <c r="Y44" t="str">
        <f t="shared" si="2"/>
        <v/>
      </c>
      <c r="Z44" t="b">
        <v>1</v>
      </c>
    </row>
    <row r="45" spans="1:26" x14ac:dyDescent="0.3">
      <c r="A45" s="6">
        <v>44</v>
      </c>
      <c r="B45" s="6" t="s">
        <v>38</v>
      </c>
      <c r="C45" s="6" t="s">
        <v>76</v>
      </c>
      <c r="D45" s="6">
        <v>32</v>
      </c>
      <c r="E45" s="6" t="s">
        <v>14</v>
      </c>
      <c r="F45" s="6" t="s">
        <v>22</v>
      </c>
      <c r="G45" s="6">
        <v>12000</v>
      </c>
      <c r="H45" s="6">
        <v>68000</v>
      </c>
      <c r="I45" s="6" t="s">
        <v>23</v>
      </c>
      <c r="J45" s="6">
        <v>15000</v>
      </c>
      <c r="K45" s="6">
        <v>720</v>
      </c>
      <c r="L45" s="6" t="s">
        <v>31</v>
      </c>
      <c r="M45" s="6" t="s">
        <v>81</v>
      </c>
      <c r="N45" s="6" t="s">
        <v>18</v>
      </c>
      <c r="O45" s="5" t="s">
        <v>319</v>
      </c>
      <c r="P45">
        <v>4.5333333333333332</v>
      </c>
      <c r="Q45" t="b">
        <v>1</v>
      </c>
      <c r="R45" s="5" t="str">
        <v>Even</v>
      </c>
      <c r="S45">
        <f t="shared" si="0"/>
        <v>21</v>
      </c>
      <c r="T45" t="str">
        <v>Good</v>
      </c>
      <c r="U45" t="str">
        <v/>
      </c>
      <c r="V45" t="b">
        <v>1</v>
      </c>
      <c r="W45" t="str" cm="1">
        <f t="array" ref="W45">IF(AND(D45:D393&gt;40, K45:K393&lt;300, H45:H393&lt;8000), "Not Eligible", "Eligible")</f>
        <v>Eligible</v>
      </c>
      <c r="X45" t="str">
        <f t="shared" si="1"/>
        <v>Good</v>
      </c>
      <c r="Y45" t="str">
        <f t="shared" si="2"/>
        <v>In Progress</v>
      </c>
      <c r="Z45" t="b">
        <v>0</v>
      </c>
    </row>
    <row r="46" spans="1:26" x14ac:dyDescent="0.3">
      <c r="A46" s="6">
        <v>45</v>
      </c>
      <c r="B46" s="6" t="s">
        <v>77</v>
      </c>
      <c r="C46" s="6" t="s">
        <v>51</v>
      </c>
      <c r="D46" s="6">
        <v>49</v>
      </c>
      <c r="E46" s="6" t="s">
        <v>21</v>
      </c>
      <c r="F46" s="6" t="s">
        <v>15</v>
      </c>
      <c r="G46" s="6">
        <v>7000</v>
      </c>
      <c r="H46" s="6">
        <v>71000</v>
      </c>
      <c r="I46" s="6" t="s">
        <v>16</v>
      </c>
      <c r="J46" s="6">
        <v>0</v>
      </c>
      <c r="K46" s="6">
        <v>680</v>
      </c>
      <c r="L46" s="6" t="s">
        <v>17</v>
      </c>
      <c r="M46" s="6" t="s">
        <v>81</v>
      </c>
      <c r="N46" s="6" t="s">
        <v>25</v>
      </c>
      <c r="O46" s="5">
        <v>5</v>
      </c>
      <c r="P46" t="e">
        <v>#DIV/0!</v>
      </c>
      <c r="Q46" t="b">
        <v>0</v>
      </c>
      <c r="R46" s="5" t="str">
        <v>Odd</v>
      </c>
      <c r="S46">
        <f t="shared" si="0"/>
        <v>221</v>
      </c>
      <c r="T46" t="str">
        <v/>
      </c>
      <c r="U46" t="str">
        <v>Bad</v>
      </c>
      <c r="V46" t="b">
        <v>0</v>
      </c>
      <c r="W46" t="str" cm="1">
        <f t="array" ref="W46">IF(AND(D46:D394&gt;40, K46:K394&lt;300, H46:H394&lt;8000), "Not Eligible", "Eligible")</f>
        <v>Eligible</v>
      </c>
      <c r="X46" t="str">
        <f t="shared" si="1"/>
        <v>Bad</v>
      </c>
      <c r="Y46" t="str">
        <f t="shared" si="2"/>
        <v/>
      </c>
      <c r="Z46" t="b">
        <v>1</v>
      </c>
    </row>
    <row r="47" spans="1:26" x14ac:dyDescent="0.3">
      <c r="A47" s="6">
        <v>46</v>
      </c>
      <c r="B47" s="6" t="s">
        <v>79</v>
      </c>
      <c r="C47" s="6" t="s">
        <v>61</v>
      </c>
      <c r="D47" s="6">
        <v>24</v>
      </c>
      <c r="E47" s="6" t="s">
        <v>14</v>
      </c>
      <c r="F47" s="6" t="s">
        <v>22</v>
      </c>
      <c r="G47" s="6">
        <v>5000</v>
      </c>
      <c r="H47" s="6">
        <v>56000</v>
      </c>
      <c r="I47" s="6" t="s">
        <v>23</v>
      </c>
      <c r="J47" s="6">
        <v>10000</v>
      </c>
      <c r="K47" s="6">
        <v>700</v>
      </c>
      <c r="L47" s="6" t="s">
        <v>24</v>
      </c>
      <c r="M47" s="6" t="s">
        <v>81</v>
      </c>
      <c r="N47" s="6" t="s">
        <v>18</v>
      </c>
      <c r="O47" s="5">
        <v>11</v>
      </c>
      <c r="P47">
        <v>5.6</v>
      </c>
      <c r="Q47" t="b">
        <v>1</v>
      </c>
      <c r="R47" s="5" t="str">
        <v>Even</v>
      </c>
      <c r="S47">
        <f t="shared" si="0"/>
        <v>127</v>
      </c>
      <c r="T47" t="str">
        <v>Good</v>
      </c>
      <c r="U47" t="str">
        <v/>
      </c>
      <c r="V47" t="b">
        <v>0</v>
      </c>
      <c r="W47" t="str" cm="1">
        <f t="array" ref="W47">IF(AND(D47:D395&gt;40, K47:K395&lt;300, H47:H395&lt;8000), "Not Eligible", "Eligible")</f>
        <v>Eligible</v>
      </c>
      <c r="X47" t="str">
        <f t="shared" si="1"/>
        <v>Good</v>
      </c>
      <c r="Y47" t="str">
        <f t="shared" si="2"/>
        <v>In Progress</v>
      </c>
      <c r="Z47" t="b">
        <v>0</v>
      </c>
    </row>
    <row r="48" spans="1:26" x14ac:dyDescent="0.3">
      <c r="A48" s="6">
        <v>47</v>
      </c>
      <c r="B48" s="6" t="s">
        <v>40</v>
      </c>
      <c r="C48" s="6" t="s">
        <v>78</v>
      </c>
      <c r="D48" s="6">
        <v>29</v>
      </c>
      <c r="E48" s="6" t="s">
        <v>21</v>
      </c>
      <c r="F48" s="6" t="s">
        <v>15</v>
      </c>
      <c r="G48" s="6">
        <v>1500</v>
      </c>
      <c r="H48" s="6">
        <v>45000</v>
      </c>
      <c r="I48" s="6" t="s">
        <v>16</v>
      </c>
      <c r="J48" s="6">
        <v>0</v>
      </c>
      <c r="K48" s="6">
        <v>670</v>
      </c>
      <c r="L48" s="6" t="s">
        <v>28</v>
      </c>
      <c r="M48" s="6" t="s">
        <v>81</v>
      </c>
      <c r="N48" s="6" t="s">
        <v>25</v>
      </c>
      <c r="O48" s="5">
        <v>4</v>
      </c>
      <c r="P48" t="e">
        <v>#DIV/0!</v>
      </c>
      <c r="Q48" t="b">
        <v>0</v>
      </c>
      <c r="R48" s="5" t="str">
        <v>Odd</v>
      </c>
      <c r="S48">
        <f t="shared" si="0"/>
        <v>277</v>
      </c>
      <c r="T48" t="str">
        <v/>
      </c>
      <c r="U48" t="str">
        <v>Bad</v>
      </c>
      <c r="V48" t="b">
        <v>0</v>
      </c>
      <c r="W48" t="str" cm="1">
        <f t="array" ref="W48">IF(AND(D48:D396&gt;40, K48:K396&lt;300, H48:H396&lt;8000), "Not Eligible", "Eligible")</f>
        <v>Eligible</v>
      </c>
      <c r="X48" t="str">
        <f t="shared" si="1"/>
        <v>Bad</v>
      </c>
      <c r="Y48" t="str">
        <f t="shared" si="2"/>
        <v/>
      </c>
      <c r="Z48" t="b">
        <v>1</v>
      </c>
    </row>
    <row r="49" spans="1:26" x14ac:dyDescent="0.3">
      <c r="A49" s="6">
        <v>48</v>
      </c>
      <c r="B49" s="6" t="s">
        <v>42</v>
      </c>
      <c r="C49" s="6" t="s">
        <v>45</v>
      </c>
      <c r="D49" s="6">
        <v>43</v>
      </c>
      <c r="E49" s="6" t="s">
        <v>14</v>
      </c>
      <c r="F49" s="6" t="s">
        <v>22</v>
      </c>
      <c r="G49" s="6">
        <v>11000</v>
      </c>
      <c r="H49" s="6">
        <v>74000</v>
      </c>
      <c r="I49" s="6" t="s">
        <v>23</v>
      </c>
      <c r="J49" s="6">
        <v>12000</v>
      </c>
      <c r="K49" s="6">
        <v>720</v>
      </c>
      <c r="L49" s="6" t="s">
        <v>31</v>
      </c>
      <c r="M49" s="6" t="s">
        <v>81</v>
      </c>
      <c r="N49" s="6" t="s">
        <v>18</v>
      </c>
      <c r="O49" s="5">
        <v>14</v>
      </c>
      <c r="P49">
        <v>6.166666666666667</v>
      </c>
      <c r="Q49" t="b">
        <v>1</v>
      </c>
      <c r="R49" s="5" t="str">
        <v>Odd</v>
      </c>
      <c r="S49">
        <f t="shared" si="0"/>
        <v>21</v>
      </c>
      <c r="T49" t="str">
        <v>Good</v>
      </c>
      <c r="U49" t="str">
        <v/>
      </c>
      <c r="V49" t="b">
        <v>0</v>
      </c>
      <c r="W49" t="str" cm="1">
        <f t="array" ref="W49">IF(AND(D49:D397&gt;40, K49:K397&lt;300, H49:H397&lt;8000), "Not Eligible", "Eligible")</f>
        <v>Eligible</v>
      </c>
      <c r="X49" t="str">
        <f t="shared" si="1"/>
        <v>Good</v>
      </c>
      <c r="Y49" t="str">
        <f t="shared" si="2"/>
        <v>In Progress</v>
      </c>
      <c r="Z49" t="b">
        <v>0</v>
      </c>
    </row>
    <row r="50" spans="1:26" x14ac:dyDescent="0.3">
      <c r="A50" s="6">
        <v>49</v>
      </c>
      <c r="B50" s="6" t="s">
        <v>64</v>
      </c>
      <c r="C50" s="6" t="s">
        <v>47</v>
      </c>
      <c r="D50" s="6">
        <v>36</v>
      </c>
      <c r="E50" s="6" t="s">
        <v>21</v>
      </c>
      <c r="F50" s="6" t="s">
        <v>15</v>
      </c>
      <c r="G50" s="6">
        <v>8000</v>
      </c>
      <c r="H50" s="6">
        <v>63000</v>
      </c>
      <c r="I50" s="6" t="s">
        <v>16</v>
      </c>
      <c r="J50" s="6">
        <v>0</v>
      </c>
      <c r="K50" s="6">
        <v>710</v>
      </c>
      <c r="L50" s="6" t="s">
        <v>17</v>
      </c>
      <c r="M50" s="6" t="s">
        <v>80</v>
      </c>
      <c r="N50" s="6" t="s">
        <v>25</v>
      </c>
      <c r="O50" s="5">
        <v>7</v>
      </c>
      <c r="P50" t="e">
        <v>#DIV/0!</v>
      </c>
      <c r="Q50" t="b">
        <v>0</v>
      </c>
      <c r="R50" s="5" t="str">
        <v>Even</v>
      </c>
      <c r="S50">
        <f t="shared" si="0"/>
        <v>81</v>
      </c>
      <c r="T50" t="str">
        <v/>
      </c>
      <c r="U50" t="str">
        <v>Bad</v>
      </c>
      <c r="V50" t="b">
        <v>0</v>
      </c>
      <c r="W50" t="str" cm="1">
        <f t="array" ref="W50">IF(AND(D50:D398&gt;40, K50:K398&lt;300, H50:H398&lt;8000), "Not Eligible", "Eligible")</f>
        <v>Eligible</v>
      </c>
      <c r="X50" t="str">
        <f t="shared" si="1"/>
        <v>Bad</v>
      </c>
      <c r="Y50" t="str">
        <f t="shared" si="2"/>
        <v/>
      </c>
      <c r="Z50" t="b">
        <v>1</v>
      </c>
    </row>
    <row r="51" spans="1:26" x14ac:dyDescent="0.3">
      <c r="A51" s="6">
        <v>50</v>
      </c>
      <c r="B51" s="6" t="s">
        <v>34</v>
      </c>
      <c r="C51" s="6" t="s">
        <v>49</v>
      </c>
      <c r="D51" s="6">
        <v>28</v>
      </c>
      <c r="E51" s="6" t="s">
        <v>14</v>
      </c>
      <c r="F51" s="6" t="s">
        <v>22</v>
      </c>
      <c r="G51" s="6">
        <v>2000</v>
      </c>
      <c r="H51" s="6">
        <v>47000</v>
      </c>
      <c r="I51" s="6" t="s">
        <v>23</v>
      </c>
      <c r="J51" s="6">
        <v>5000</v>
      </c>
      <c r="K51" s="6">
        <v>680</v>
      </c>
      <c r="L51" s="6" t="s">
        <v>24</v>
      </c>
      <c r="M51" s="6" t="s">
        <v>80</v>
      </c>
      <c r="N51" s="6" t="s">
        <v>18</v>
      </c>
      <c r="O51" s="5">
        <v>6</v>
      </c>
      <c r="P51">
        <v>9.4</v>
      </c>
      <c r="Q51" t="b">
        <v>1</v>
      </c>
      <c r="R51" s="5" t="str">
        <v>Even</v>
      </c>
      <c r="S51">
        <f t="shared" si="0"/>
        <v>218</v>
      </c>
      <c r="T51" t="str">
        <v>Good</v>
      </c>
      <c r="U51" t="str">
        <v/>
      </c>
      <c r="V51" t="b">
        <v>0</v>
      </c>
      <c r="W51" t="str" cm="1">
        <f t="array" ref="W51">IF(AND(D51:D399&gt;40, K51:K399&lt;300, H51:H399&lt;8000), "Not Eligible", "Eligible")</f>
        <v>Eligible</v>
      </c>
      <c r="X51" t="str">
        <f t="shared" si="1"/>
        <v>Bad</v>
      </c>
      <c r="Y51" t="str">
        <f t="shared" si="2"/>
        <v>In Progress</v>
      </c>
      <c r="Z51" t="b">
        <v>0</v>
      </c>
    </row>
    <row r="52" spans="1:26" x14ac:dyDescent="0.3">
      <c r="A52" s="6">
        <v>51</v>
      </c>
      <c r="B52" s="6" t="s">
        <v>48</v>
      </c>
      <c r="C52" s="6" t="s">
        <v>61</v>
      </c>
      <c r="D52" s="6">
        <v>31</v>
      </c>
      <c r="E52" s="6" t="s">
        <v>21</v>
      </c>
      <c r="F52" s="6" t="s">
        <v>15</v>
      </c>
      <c r="G52" s="6">
        <v>4000</v>
      </c>
      <c r="H52" s="6">
        <v>55000</v>
      </c>
      <c r="I52" s="6" t="s">
        <v>16</v>
      </c>
      <c r="J52" s="6">
        <v>0</v>
      </c>
      <c r="K52" s="6">
        <v>690</v>
      </c>
      <c r="L52" s="6" t="s">
        <v>28</v>
      </c>
      <c r="M52" s="6" t="s">
        <v>81</v>
      </c>
      <c r="N52" s="6" t="s">
        <v>25</v>
      </c>
      <c r="O52" s="5">
        <v>4</v>
      </c>
      <c r="P52" t="e">
        <v>#DIV/0!</v>
      </c>
      <c r="Q52" t="b">
        <v>0</v>
      </c>
      <c r="R52" s="5" t="str">
        <v>Odd</v>
      </c>
      <c r="S52">
        <f t="shared" si="0"/>
        <v>166</v>
      </c>
      <c r="T52" t="str">
        <v/>
      </c>
      <c r="U52" t="str">
        <v>Bad</v>
      </c>
      <c r="V52" t="b">
        <v>0</v>
      </c>
      <c r="W52" t="str" cm="1">
        <f t="array" ref="W52">IF(AND(D52:D400&gt;40, K52:K400&lt;300, H52:H400&lt;8000), "Not Eligible", "Eligible")</f>
        <v>Eligible</v>
      </c>
      <c r="X52" t="str">
        <f t="shared" si="1"/>
        <v>Bad</v>
      </c>
      <c r="Y52" t="str">
        <f t="shared" si="2"/>
        <v/>
      </c>
      <c r="Z52" t="b">
        <v>1</v>
      </c>
    </row>
    <row r="53" spans="1:26" x14ac:dyDescent="0.3">
      <c r="A53" s="6">
        <v>52</v>
      </c>
      <c r="B53" s="6" t="s">
        <v>54</v>
      </c>
      <c r="C53" s="6" t="s">
        <v>53</v>
      </c>
      <c r="D53" s="6">
        <v>44</v>
      </c>
      <c r="E53" s="6" t="s">
        <v>14</v>
      </c>
      <c r="F53" s="6" t="s">
        <v>22</v>
      </c>
      <c r="G53" s="6">
        <v>6000</v>
      </c>
      <c r="H53" s="6">
        <v>62000</v>
      </c>
      <c r="I53" s="6" t="s">
        <v>23</v>
      </c>
      <c r="J53" s="6">
        <v>10000</v>
      </c>
      <c r="K53" s="6">
        <v>700</v>
      </c>
      <c r="L53" s="6" t="s">
        <v>31</v>
      </c>
      <c r="M53" s="6" t="s">
        <v>81</v>
      </c>
      <c r="N53" s="6" t="s">
        <v>18</v>
      </c>
      <c r="O53" s="5">
        <v>7</v>
      </c>
      <c r="P53">
        <v>6.2</v>
      </c>
      <c r="Q53" t="b">
        <v>1</v>
      </c>
      <c r="R53" s="5" t="str">
        <v>Even</v>
      </c>
      <c r="S53">
        <f t="shared" si="0"/>
        <v>125</v>
      </c>
      <c r="T53" t="str">
        <v>Good</v>
      </c>
      <c r="U53" t="str">
        <v/>
      </c>
      <c r="V53" t="b">
        <v>0</v>
      </c>
      <c r="W53" t="str" cm="1">
        <f t="array" ref="W53">IF(AND(D53:D401&gt;40, K53:K401&lt;300, H53:H401&lt;8000), "Not Eligible", "Eligible")</f>
        <v>Eligible</v>
      </c>
      <c r="X53" t="str">
        <f t="shared" si="1"/>
        <v>Good</v>
      </c>
      <c r="Y53" t="str">
        <f t="shared" si="2"/>
        <v>In Progress</v>
      </c>
      <c r="Z53" t="b">
        <v>0</v>
      </c>
    </row>
    <row r="54" spans="1:26" x14ac:dyDescent="0.3">
      <c r="A54" s="6">
        <v>53</v>
      </c>
      <c r="B54" s="6" t="s">
        <v>60</v>
      </c>
      <c r="C54" s="6" t="s">
        <v>51</v>
      </c>
      <c r="D54" s="6">
        <v>39</v>
      </c>
      <c r="E54" s="6" t="s">
        <v>21</v>
      </c>
      <c r="F54" s="6" t="s">
        <v>15</v>
      </c>
      <c r="G54" s="6">
        <v>9000</v>
      </c>
      <c r="H54" s="6">
        <v>67000</v>
      </c>
      <c r="I54" s="6" t="s">
        <v>16</v>
      </c>
      <c r="J54" s="6">
        <v>0</v>
      </c>
      <c r="K54" s="6">
        <v>720</v>
      </c>
      <c r="L54" s="6" t="s">
        <v>17</v>
      </c>
      <c r="M54" s="6" t="s">
        <v>81</v>
      </c>
      <c r="N54" s="6" t="s">
        <v>25</v>
      </c>
      <c r="O54" s="5" t="s">
        <v>319</v>
      </c>
      <c r="P54" t="e">
        <v>#DIV/0!</v>
      </c>
      <c r="Q54" t="b">
        <v>0</v>
      </c>
      <c r="R54" s="5" t="str">
        <v>Odd</v>
      </c>
      <c r="S54">
        <f t="shared" si="0"/>
        <v>21</v>
      </c>
      <c r="T54" t="str">
        <v/>
      </c>
      <c r="U54" t="str">
        <v>Bad</v>
      </c>
      <c r="V54" t="b">
        <v>1</v>
      </c>
      <c r="W54" t="str" cm="1">
        <f t="array" ref="W54">IF(AND(D54:D402&gt;40, K54:K402&lt;300, H54:H402&lt;8000), "Not Eligible", "Eligible")</f>
        <v>Eligible</v>
      </c>
      <c r="X54" t="str">
        <f t="shared" si="1"/>
        <v>Bad</v>
      </c>
      <c r="Y54" t="str">
        <f t="shared" si="2"/>
        <v/>
      </c>
      <c r="Z54" t="b">
        <v>1</v>
      </c>
    </row>
    <row r="55" spans="1:26" x14ac:dyDescent="0.3">
      <c r="A55" s="6">
        <v>54</v>
      </c>
      <c r="B55" s="6" t="s">
        <v>62</v>
      </c>
      <c r="C55" s="6" t="s">
        <v>57</v>
      </c>
      <c r="D55" s="6">
        <v>27</v>
      </c>
      <c r="E55" s="6" t="s">
        <v>14</v>
      </c>
      <c r="F55" s="6" t="s">
        <v>22</v>
      </c>
      <c r="G55" s="6">
        <v>2500</v>
      </c>
      <c r="H55" s="6">
        <v>49000</v>
      </c>
      <c r="I55" s="6" t="s">
        <v>23</v>
      </c>
      <c r="J55" s="6">
        <v>7000</v>
      </c>
      <c r="K55" s="6">
        <v>680</v>
      </c>
      <c r="L55" s="6" t="s">
        <v>24</v>
      </c>
      <c r="M55" s="6" t="s">
        <v>82</v>
      </c>
      <c r="N55" s="6" t="s">
        <v>18</v>
      </c>
      <c r="O55" s="5">
        <v>4</v>
      </c>
      <c r="P55">
        <v>7</v>
      </c>
      <c r="Q55" t="b">
        <v>1</v>
      </c>
      <c r="R55" s="5" t="str">
        <v>Odd</v>
      </c>
      <c r="S55">
        <f t="shared" si="0"/>
        <v>215</v>
      </c>
      <c r="T55" t="str">
        <v>Good</v>
      </c>
      <c r="U55" t="str">
        <v/>
      </c>
      <c r="V55" t="b">
        <v>0</v>
      </c>
      <c r="W55" t="str" cm="1">
        <f t="array" ref="W55">IF(AND(D55:D403&gt;40, K55:K403&lt;300, H55:H403&lt;8000), "Not Eligible", "Eligible")</f>
        <v>Eligible</v>
      </c>
      <c r="X55" t="str">
        <f t="shared" si="1"/>
        <v>Good</v>
      </c>
      <c r="Y55" t="str">
        <f t="shared" si="2"/>
        <v>In Progress</v>
      </c>
      <c r="Z55" t="b">
        <v>0</v>
      </c>
    </row>
    <row r="56" spans="1:26" x14ac:dyDescent="0.3">
      <c r="A56" s="6">
        <v>55</v>
      </c>
      <c r="B56" s="6" t="s">
        <v>77</v>
      </c>
      <c r="C56" s="6" t="s">
        <v>30</v>
      </c>
      <c r="D56" s="6">
        <v>40</v>
      </c>
      <c r="E56" s="6" t="s">
        <v>21</v>
      </c>
      <c r="F56" s="6" t="s">
        <v>15</v>
      </c>
      <c r="G56" s="6">
        <v>7000</v>
      </c>
      <c r="H56" s="6">
        <v>71000</v>
      </c>
      <c r="I56" s="6" t="s">
        <v>16</v>
      </c>
      <c r="J56" s="6">
        <v>0</v>
      </c>
      <c r="K56" s="6">
        <v>710</v>
      </c>
      <c r="L56" s="6" t="s">
        <v>28</v>
      </c>
      <c r="M56" s="6" t="s">
        <v>82</v>
      </c>
      <c r="N56" s="6" t="s">
        <v>25</v>
      </c>
      <c r="O56" s="5">
        <v>15</v>
      </c>
      <c r="P56" t="e">
        <v>#DIV/0!</v>
      </c>
      <c r="Q56" t="b">
        <v>0</v>
      </c>
      <c r="R56" s="5" t="str">
        <v>Even</v>
      </c>
      <c r="S56">
        <f t="shared" si="0"/>
        <v>80</v>
      </c>
      <c r="T56" t="str">
        <v/>
      </c>
      <c r="U56" t="str">
        <v>Bad</v>
      </c>
      <c r="V56" t="b">
        <v>0</v>
      </c>
      <c r="W56" t="str" cm="1">
        <f t="array" ref="W56">IF(AND(D56:D404&gt;40, K56:K404&lt;300, H56:H404&lt;8000), "Not Eligible", "Eligible")</f>
        <v>Eligible</v>
      </c>
      <c r="X56" t="str">
        <f t="shared" si="1"/>
        <v>Bad</v>
      </c>
      <c r="Y56" t="str">
        <f t="shared" si="2"/>
        <v/>
      </c>
      <c r="Z56" t="b">
        <v>1</v>
      </c>
    </row>
    <row r="57" spans="1:26" x14ac:dyDescent="0.3">
      <c r="A57" s="6">
        <v>56</v>
      </c>
      <c r="B57" s="6" t="s">
        <v>38</v>
      </c>
      <c r="C57" s="6" t="s">
        <v>67</v>
      </c>
      <c r="D57" s="6">
        <v>34</v>
      </c>
      <c r="E57" s="6" t="s">
        <v>14</v>
      </c>
      <c r="F57" s="6" t="s">
        <v>22</v>
      </c>
      <c r="G57" s="6">
        <v>15000</v>
      </c>
      <c r="H57" s="6">
        <v>73000</v>
      </c>
      <c r="I57" s="6" t="s">
        <v>23</v>
      </c>
      <c r="J57" s="6">
        <v>13000</v>
      </c>
      <c r="K57" s="6">
        <v>720</v>
      </c>
      <c r="L57" s="6" t="s">
        <v>31</v>
      </c>
      <c r="M57" s="6" t="s">
        <v>82</v>
      </c>
      <c r="N57" s="6" t="s">
        <v>18</v>
      </c>
      <c r="O57" s="5">
        <v>4</v>
      </c>
      <c r="P57">
        <v>5.615384615384615</v>
      </c>
      <c r="Q57" t="b">
        <v>1</v>
      </c>
      <c r="R57" s="5" t="str">
        <v>Even</v>
      </c>
      <c r="S57">
        <f t="shared" si="0"/>
        <v>21</v>
      </c>
      <c r="T57" t="str">
        <v>Good</v>
      </c>
      <c r="U57" t="str">
        <v/>
      </c>
      <c r="V57" t="b">
        <v>0</v>
      </c>
      <c r="W57" t="str" cm="1">
        <f t="array" ref="W57">IF(AND(D57:D405&gt;40, K57:K405&lt;300, H57:H405&lt;8000), "Not Eligible", "Eligible")</f>
        <v>Eligible</v>
      </c>
      <c r="X57" t="str">
        <f t="shared" si="1"/>
        <v>Good</v>
      </c>
      <c r="Y57" t="str">
        <f t="shared" si="2"/>
        <v>In Progress</v>
      </c>
      <c r="Z57" t="b">
        <v>0</v>
      </c>
    </row>
    <row r="58" spans="1:26" x14ac:dyDescent="0.3">
      <c r="A58" s="6">
        <v>57</v>
      </c>
      <c r="B58" s="6" t="s">
        <v>64</v>
      </c>
      <c r="C58" s="6" t="s">
        <v>59</v>
      </c>
      <c r="D58" s="6">
        <v>29</v>
      </c>
      <c r="E58" s="6" t="s">
        <v>21</v>
      </c>
      <c r="F58" s="6" t="s">
        <v>15</v>
      </c>
      <c r="G58" s="6">
        <v>2500</v>
      </c>
      <c r="H58" s="6">
        <v>47000</v>
      </c>
      <c r="I58" s="6" t="s">
        <v>16</v>
      </c>
      <c r="J58" s="6">
        <v>0</v>
      </c>
      <c r="K58" s="6">
        <v>680</v>
      </c>
      <c r="L58" s="6" t="s">
        <v>17</v>
      </c>
      <c r="M58" s="6" t="s">
        <v>80</v>
      </c>
      <c r="N58" s="6" t="s">
        <v>25</v>
      </c>
      <c r="O58" s="5">
        <v>15</v>
      </c>
      <c r="P58" t="e">
        <v>#DIV/0!</v>
      </c>
      <c r="Q58" t="b">
        <v>0</v>
      </c>
      <c r="R58" s="5" t="str">
        <v>Odd</v>
      </c>
      <c r="S58">
        <f t="shared" si="0"/>
        <v>213</v>
      </c>
      <c r="T58" t="str">
        <v/>
      </c>
      <c r="U58" t="str">
        <v>Bad</v>
      </c>
      <c r="V58" t="b">
        <v>0</v>
      </c>
      <c r="W58" t="str" cm="1">
        <f t="array" ref="W58">IF(AND(D58:D406&gt;40, K58:K406&lt;300, H58:H406&lt;8000), "Not Eligible", "Eligible")</f>
        <v>Eligible</v>
      </c>
      <c r="X58" t="str">
        <f t="shared" si="1"/>
        <v>Bad</v>
      </c>
      <c r="Y58" t="str">
        <f t="shared" si="2"/>
        <v/>
      </c>
      <c r="Z58" t="b">
        <v>1</v>
      </c>
    </row>
    <row r="59" spans="1:26" x14ac:dyDescent="0.3">
      <c r="A59" s="6">
        <v>58</v>
      </c>
      <c r="B59" s="6" t="s">
        <v>42</v>
      </c>
      <c r="C59" s="6" t="s">
        <v>63</v>
      </c>
      <c r="D59" s="6">
        <v>31</v>
      </c>
      <c r="E59" s="6" t="s">
        <v>14</v>
      </c>
      <c r="F59" s="6" t="s">
        <v>22</v>
      </c>
      <c r="G59" s="6">
        <v>5000</v>
      </c>
      <c r="H59" s="6">
        <v>53000</v>
      </c>
      <c r="I59" s="6" t="s">
        <v>23</v>
      </c>
      <c r="J59" s="6">
        <v>8000</v>
      </c>
      <c r="K59" s="6">
        <v>690</v>
      </c>
      <c r="L59" s="6" t="s">
        <v>24</v>
      </c>
      <c r="M59" s="6" t="s">
        <v>80</v>
      </c>
      <c r="N59" s="6" t="s">
        <v>18</v>
      </c>
      <c r="O59" s="5">
        <v>14</v>
      </c>
      <c r="P59">
        <v>6.625</v>
      </c>
      <c r="Q59" t="b">
        <v>1</v>
      </c>
      <c r="R59" s="5" t="str">
        <v>Odd</v>
      </c>
      <c r="S59">
        <f t="shared" si="0"/>
        <v>162</v>
      </c>
      <c r="T59" t="str">
        <v>Good</v>
      </c>
      <c r="U59" t="str">
        <v/>
      </c>
      <c r="V59" t="b">
        <v>0</v>
      </c>
      <c r="W59" t="str" cm="1">
        <f t="array" ref="W59">IF(AND(D59:D407&gt;40, K59:K407&lt;300, H59:H407&lt;8000), "Not Eligible", "Eligible")</f>
        <v>Eligible</v>
      </c>
      <c r="X59" t="str">
        <f t="shared" si="1"/>
        <v>Good</v>
      </c>
      <c r="Y59" t="str">
        <f t="shared" si="2"/>
        <v>In Progress</v>
      </c>
      <c r="Z59" t="b">
        <v>0</v>
      </c>
    </row>
    <row r="60" spans="1:26" x14ac:dyDescent="0.3">
      <c r="A60" s="6">
        <v>59</v>
      </c>
      <c r="B60" s="6" t="s">
        <v>48</v>
      </c>
      <c r="C60" s="6" t="s">
        <v>27</v>
      </c>
      <c r="D60" s="6">
        <v>42</v>
      </c>
      <c r="E60" s="6" t="s">
        <v>21</v>
      </c>
      <c r="F60" s="6" t="s">
        <v>15</v>
      </c>
      <c r="G60" s="6">
        <v>6000</v>
      </c>
      <c r="H60" s="6">
        <v>69000</v>
      </c>
      <c r="I60" s="6" t="s">
        <v>16</v>
      </c>
      <c r="J60" s="6">
        <v>0</v>
      </c>
      <c r="K60" s="6">
        <v>720</v>
      </c>
      <c r="L60" s="6" t="s">
        <v>28</v>
      </c>
      <c r="M60" s="6" t="s">
        <v>80</v>
      </c>
      <c r="N60" s="6" t="s">
        <v>25</v>
      </c>
      <c r="O60" s="5">
        <v>10</v>
      </c>
      <c r="P60" t="e">
        <v>#DIV/0!</v>
      </c>
      <c r="Q60" t="b">
        <v>0</v>
      </c>
      <c r="R60" s="5" t="str">
        <v>Even</v>
      </c>
      <c r="S60">
        <f t="shared" si="0"/>
        <v>21</v>
      </c>
      <c r="T60" t="str">
        <v/>
      </c>
      <c r="U60" t="str">
        <v>Bad</v>
      </c>
      <c r="V60" t="b">
        <v>0</v>
      </c>
      <c r="W60" t="str" cm="1">
        <f t="array" ref="W60">IF(AND(D60:D408&gt;40, K60:K408&lt;300, H60:H408&lt;8000), "Not Eligible", "Eligible")</f>
        <v>Eligible</v>
      </c>
      <c r="X60" t="str">
        <f t="shared" si="1"/>
        <v>Bad</v>
      </c>
      <c r="Y60" t="str">
        <f t="shared" si="2"/>
        <v/>
      </c>
      <c r="Z60" t="b">
        <v>1</v>
      </c>
    </row>
    <row r="61" spans="1:26" x14ac:dyDescent="0.3">
      <c r="A61" s="6">
        <v>60</v>
      </c>
      <c r="B61" s="6" t="s">
        <v>34</v>
      </c>
      <c r="C61" s="6" t="s">
        <v>37</v>
      </c>
      <c r="D61" s="6">
        <v>36</v>
      </c>
      <c r="E61" s="6" t="s">
        <v>14</v>
      </c>
      <c r="F61" s="6" t="s">
        <v>22</v>
      </c>
      <c r="G61" s="6">
        <v>2000</v>
      </c>
      <c r="H61" s="6">
        <v>45000</v>
      </c>
      <c r="I61" s="6" t="s">
        <v>23</v>
      </c>
      <c r="J61" s="6">
        <v>5000</v>
      </c>
      <c r="K61" s="6">
        <v>700</v>
      </c>
      <c r="L61" s="6" t="s">
        <v>31</v>
      </c>
      <c r="M61" s="6" t="s">
        <v>80</v>
      </c>
      <c r="N61" s="6" t="s">
        <v>18</v>
      </c>
      <c r="O61" s="5">
        <v>14</v>
      </c>
      <c r="P61">
        <v>9</v>
      </c>
      <c r="Q61" t="b">
        <v>1</v>
      </c>
      <c r="R61" s="5" t="str">
        <v>Even</v>
      </c>
      <c r="S61">
        <f t="shared" si="0"/>
        <v>121</v>
      </c>
      <c r="T61" t="str">
        <v>Good</v>
      </c>
      <c r="U61" t="str">
        <v/>
      </c>
      <c r="V61" t="b">
        <v>0</v>
      </c>
      <c r="W61" t="str" cm="1">
        <f t="array" ref="W61">IF(AND(D61:D409&gt;40, K61:K409&lt;300, H61:H409&lt;8000), "Not Eligible", "Eligible")</f>
        <v>Eligible</v>
      </c>
      <c r="X61" t="str">
        <f t="shared" si="1"/>
        <v>Bad</v>
      </c>
      <c r="Y61" t="str">
        <f t="shared" si="2"/>
        <v>In Progress</v>
      </c>
      <c r="Z61" t="b">
        <v>0</v>
      </c>
    </row>
    <row r="62" spans="1:26" x14ac:dyDescent="0.3">
      <c r="A62" s="6">
        <v>61</v>
      </c>
      <c r="B62" s="6" t="s">
        <v>36</v>
      </c>
      <c r="C62" s="6" t="s">
        <v>49</v>
      </c>
      <c r="D62" s="6">
        <v>48</v>
      </c>
      <c r="E62" s="6" t="s">
        <v>21</v>
      </c>
      <c r="F62" s="6" t="s">
        <v>15</v>
      </c>
      <c r="G62" s="6">
        <v>8000</v>
      </c>
      <c r="H62" s="6">
        <v>74000</v>
      </c>
      <c r="I62" s="6" t="s">
        <v>16</v>
      </c>
      <c r="J62" s="6">
        <v>0</v>
      </c>
      <c r="K62" s="6">
        <v>680</v>
      </c>
      <c r="L62" s="6" t="s">
        <v>17</v>
      </c>
      <c r="M62" s="6" t="s">
        <v>81</v>
      </c>
      <c r="N62" s="6" t="s">
        <v>25</v>
      </c>
      <c r="O62" s="5">
        <v>15</v>
      </c>
      <c r="P62" t="e">
        <v>#DIV/0!</v>
      </c>
      <c r="Q62" t="b">
        <v>0</v>
      </c>
      <c r="R62" s="5" t="str">
        <v>Even</v>
      </c>
      <c r="S62">
        <f t="shared" si="0"/>
        <v>210</v>
      </c>
      <c r="T62" t="str">
        <v/>
      </c>
      <c r="U62" t="str">
        <v>Bad</v>
      </c>
      <c r="V62" t="b">
        <v>0</v>
      </c>
      <c r="W62" t="str" cm="1">
        <f t="array" ref="W62">IF(AND(D62:D410&gt;40, K62:K410&lt;300, H62:H410&lt;8000), "Not Eligible", "Eligible")</f>
        <v>Eligible</v>
      </c>
      <c r="X62" t="str">
        <f t="shared" si="1"/>
        <v>Bad</v>
      </c>
      <c r="Y62" t="str">
        <f t="shared" si="2"/>
        <v/>
      </c>
      <c r="Z62" t="b">
        <v>1</v>
      </c>
    </row>
    <row r="63" spans="1:26" x14ac:dyDescent="0.3">
      <c r="A63" s="6">
        <v>62</v>
      </c>
      <c r="B63" s="6" t="s">
        <v>62</v>
      </c>
      <c r="C63" s="6" t="s">
        <v>20</v>
      </c>
      <c r="D63" s="6">
        <v>33</v>
      </c>
      <c r="E63" s="6" t="s">
        <v>14</v>
      </c>
      <c r="F63" s="6" t="s">
        <v>22</v>
      </c>
      <c r="G63" s="6">
        <v>4000</v>
      </c>
      <c r="H63" s="6">
        <v>60000</v>
      </c>
      <c r="I63" s="6" t="s">
        <v>23</v>
      </c>
      <c r="J63" s="6">
        <v>8000</v>
      </c>
      <c r="K63" s="6">
        <v>720</v>
      </c>
      <c r="L63" s="6" t="s">
        <v>24</v>
      </c>
      <c r="M63" s="6" t="s">
        <v>81</v>
      </c>
      <c r="N63" s="6" t="s">
        <v>18</v>
      </c>
      <c r="O63" s="5">
        <v>13</v>
      </c>
      <c r="P63">
        <v>7.5</v>
      </c>
      <c r="Q63" t="b">
        <v>1</v>
      </c>
      <c r="R63" s="5" t="str">
        <v>Odd</v>
      </c>
      <c r="S63">
        <f t="shared" si="0"/>
        <v>21</v>
      </c>
      <c r="T63" t="str">
        <v>Good</v>
      </c>
      <c r="U63" t="str">
        <v/>
      </c>
      <c r="V63" t="b">
        <v>0</v>
      </c>
      <c r="W63" t="str" cm="1">
        <f t="array" ref="W63">IF(AND(D63:D411&gt;40, K63:K411&lt;300, H63:H411&lt;8000), "Not Eligible", "Eligible")</f>
        <v>Eligible</v>
      </c>
      <c r="X63" t="str">
        <f t="shared" si="1"/>
        <v>Good</v>
      </c>
      <c r="Y63" t="str">
        <f t="shared" si="2"/>
        <v>In Progress</v>
      </c>
      <c r="Z63" t="b">
        <v>0</v>
      </c>
    </row>
    <row r="64" spans="1:26" x14ac:dyDescent="0.3">
      <c r="A64" s="6">
        <v>63</v>
      </c>
      <c r="B64" s="6" t="s">
        <v>72</v>
      </c>
      <c r="C64" s="6" t="s">
        <v>33</v>
      </c>
      <c r="D64" s="6">
        <v>29</v>
      </c>
      <c r="E64" s="6" t="s">
        <v>21</v>
      </c>
      <c r="F64" s="6" t="s">
        <v>15</v>
      </c>
      <c r="G64" s="6">
        <v>3500</v>
      </c>
      <c r="H64" s="6">
        <v>55000</v>
      </c>
      <c r="I64" s="6" t="s">
        <v>16</v>
      </c>
      <c r="J64" s="6">
        <v>0</v>
      </c>
      <c r="K64" s="6">
        <v>690</v>
      </c>
      <c r="L64" s="6" t="s">
        <v>28</v>
      </c>
      <c r="M64" s="6" t="s">
        <v>81</v>
      </c>
      <c r="N64" s="6" t="s">
        <v>25</v>
      </c>
      <c r="O64" s="5">
        <v>7</v>
      </c>
      <c r="P64" t="e">
        <v>#DIV/0!</v>
      </c>
      <c r="Q64" t="b">
        <v>0</v>
      </c>
      <c r="R64" s="5" t="str">
        <v>Odd</v>
      </c>
      <c r="S64">
        <f t="shared" si="0"/>
        <v>159</v>
      </c>
      <c r="T64" t="str">
        <v/>
      </c>
      <c r="U64" t="str">
        <v>Bad</v>
      </c>
      <c r="V64" t="b">
        <v>0</v>
      </c>
      <c r="W64" t="str" cm="1">
        <f t="array" ref="W64">IF(AND(D64:D412&gt;40, K64:K412&lt;300, H64:H412&lt;8000), "Not Eligible", "Eligible")</f>
        <v>Eligible</v>
      </c>
      <c r="X64" t="str">
        <f t="shared" si="1"/>
        <v>Bad</v>
      </c>
      <c r="Y64" t="str">
        <f t="shared" si="2"/>
        <v/>
      </c>
      <c r="Z64" t="b">
        <v>1</v>
      </c>
    </row>
    <row r="65" spans="1:26" x14ac:dyDescent="0.3">
      <c r="A65" s="6">
        <v>64</v>
      </c>
      <c r="B65" s="6" t="s">
        <v>58</v>
      </c>
      <c r="C65" s="6" t="s">
        <v>41</v>
      </c>
      <c r="D65" s="6">
        <v>37</v>
      </c>
      <c r="E65" s="6" t="s">
        <v>14</v>
      </c>
      <c r="F65" s="6" t="s">
        <v>15</v>
      </c>
      <c r="G65" s="6">
        <v>10000</v>
      </c>
      <c r="H65" s="6">
        <v>67000</v>
      </c>
      <c r="I65" s="6" t="s">
        <v>23</v>
      </c>
      <c r="J65" s="6">
        <v>12000</v>
      </c>
      <c r="K65" s="6">
        <v>710</v>
      </c>
      <c r="L65" s="6" t="s">
        <v>31</v>
      </c>
      <c r="M65" s="6" t="s">
        <v>81</v>
      </c>
      <c r="N65" s="6" t="s">
        <v>18</v>
      </c>
      <c r="O65" s="5">
        <v>5</v>
      </c>
      <c r="P65">
        <v>5.583333333333333</v>
      </c>
      <c r="Q65" t="b">
        <v>1</v>
      </c>
      <c r="R65" s="5" t="str">
        <v>Odd</v>
      </c>
      <c r="S65">
        <f t="shared" si="0"/>
        <v>77</v>
      </c>
      <c r="T65" t="str">
        <v>Good</v>
      </c>
      <c r="U65" t="str">
        <v/>
      </c>
      <c r="V65" t="b">
        <v>0</v>
      </c>
      <c r="W65" t="str" cm="1">
        <f t="array" ref="W65">IF(AND(D65:D413&gt;40, K65:K413&lt;300, H65:H413&lt;8000), "Not Eligible", "Eligible")</f>
        <v>Eligible</v>
      </c>
      <c r="X65" t="str">
        <f t="shared" si="1"/>
        <v>Good</v>
      </c>
      <c r="Y65" t="str">
        <f t="shared" si="2"/>
        <v>In Progress</v>
      </c>
      <c r="Z65" t="b">
        <v>0</v>
      </c>
    </row>
    <row r="66" spans="1:26" x14ac:dyDescent="0.3">
      <c r="A66" s="6">
        <v>65</v>
      </c>
      <c r="B66" s="6" t="s">
        <v>48</v>
      </c>
      <c r="C66" s="6" t="s">
        <v>35</v>
      </c>
      <c r="D66" s="6">
        <v>34</v>
      </c>
      <c r="E66" s="6" t="s">
        <v>21</v>
      </c>
      <c r="F66" s="6" t="s">
        <v>15</v>
      </c>
      <c r="G66" s="6">
        <v>3000</v>
      </c>
      <c r="H66" s="6">
        <v>48000</v>
      </c>
      <c r="I66" s="6" t="s">
        <v>16</v>
      </c>
      <c r="J66" s="6">
        <v>0</v>
      </c>
      <c r="K66" s="6">
        <v>680</v>
      </c>
      <c r="L66" s="6" t="s">
        <v>17</v>
      </c>
      <c r="M66" s="6" t="s">
        <v>82</v>
      </c>
      <c r="N66" s="6" t="s">
        <v>25</v>
      </c>
      <c r="O66" s="5" t="s">
        <v>319</v>
      </c>
      <c r="P66" t="e">
        <v>#DIV/0!</v>
      </c>
      <c r="Q66" t="b">
        <v>0</v>
      </c>
      <c r="R66" s="5" t="str">
        <v>Even</v>
      </c>
      <c r="S66">
        <f t="shared" si="0"/>
        <v>207</v>
      </c>
      <c r="T66" t="str">
        <v/>
      </c>
      <c r="U66" t="str">
        <v>Bad</v>
      </c>
      <c r="V66" t="b">
        <v>1</v>
      </c>
      <c r="W66" t="str" cm="1">
        <f t="array" ref="W66">IF(AND(D66:D414&gt;40, K66:K414&lt;300, H66:H414&lt;8000), "Not Eligible", "Eligible")</f>
        <v>Eligible</v>
      </c>
      <c r="X66" t="str">
        <f t="shared" si="1"/>
        <v>Bad</v>
      </c>
      <c r="Y66" t="str">
        <f t="shared" si="2"/>
        <v/>
      </c>
      <c r="Z66" t="b">
        <v>1</v>
      </c>
    </row>
    <row r="67" spans="1:26" x14ac:dyDescent="0.3">
      <c r="A67" s="6">
        <v>66</v>
      </c>
      <c r="B67" s="6" t="s">
        <v>34</v>
      </c>
      <c r="C67" s="6" t="s">
        <v>33</v>
      </c>
      <c r="D67" s="6">
        <v>45</v>
      </c>
      <c r="E67" s="6" t="s">
        <v>14</v>
      </c>
      <c r="F67" s="6" t="s">
        <v>15</v>
      </c>
      <c r="G67" s="6">
        <v>6000</v>
      </c>
      <c r="H67" s="6">
        <v>70000</v>
      </c>
      <c r="I67" s="6" t="s">
        <v>23</v>
      </c>
      <c r="J67" s="6">
        <v>15000</v>
      </c>
      <c r="K67" s="6">
        <v>690</v>
      </c>
      <c r="L67" s="6" t="s">
        <v>24</v>
      </c>
      <c r="M67" s="6" t="s">
        <v>82</v>
      </c>
      <c r="N67" s="6" t="s">
        <v>18</v>
      </c>
      <c r="O67" s="5">
        <v>8</v>
      </c>
      <c r="P67">
        <v>4.666666666666667</v>
      </c>
      <c r="Q67" t="b">
        <v>1</v>
      </c>
      <c r="R67" s="5" t="str">
        <v>Odd</v>
      </c>
      <c r="S67">
        <f t="shared" ref="S67:S130" si="3">_xlfn.RANK.EQ(K67,K67:K415,0)</f>
        <v>158</v>
      </c>
      <c r="T67" t="str">
        <v>Good</v>
      </c>
      <c r="U67" t="str">
        <v/>
      </c>
      <c r="V67" t="b">
        <v>0</v>
      </c>
      <c r="W67" t="str" cm="1">
        <f t="array" ref="W67">IF(AND(D67:D415&gt;40, K67:K415&lt;300, H67:H415&lt;8000), "Not Eligible", "Eligible")</f>
        <v>Eligible</v>
      </c>
      <c r="X67" t="str">
        <f t="shared" ref="X67:X130" si="4">IF(AND(E67="M",K67&gt;500,G67&gt;2000),"Good", "Bad")</f>
        <v>Good</v>
      </c>
      <c r="Y67" t="str">
        <f t="shared" ref="Y67:Y130" si="5">IF(AND(M67&lt;&gt;"none",N67="Active"),"In Progress", "")</f>
        <v>In Progress</v>
      </c>
      <c r="Z67" t="b">
        <v>0</v>
      </c>
    </row>
    <row r="68" spans="1:26" x14ac:dyDescent="0.3">
      <c r="A68" s="6">
        <v>67</v>
      </c>
      <c r="B68" s="6" t="s">
        <v>36</v>
      </c>
      <c r="C68" s="6" t="s">
        <v>37</v>
      </c>
      <c r="D68" s="6">
        <v>28</v>
      </c>
      <c r="E68" s="6" t="s">
        <v>21</v>
      </c>
      <c r="F68" s="6" t="s">
        <v>15</v>
      </c>
      <c r="G68" s="6">
        <v>5500</v>
      </c>
      <c r="H68" s="6">
        <v>62000</v>
      </c>
      <c r="I68" s="6" t="s">
        <v>16</v>
      </c>
      <c r="J68" s="6">
        <v>0</v>
      </c>
      <c r="K68" s="6">
        <v>700</v>
      </c>
      <c r="L68" s="6" t="s">
        <v>28</v>
      </c>
      <c r="M68" s="6" t="s">
        <v>82</v>
      </c>
      <c r="N68" s="6" t="s">
        <v>25</v>
      </c>
      <c r="O68" s="5">
        <v>4</v>
      </c>
      <c r="P68" t="e">
        <v>#DIV/0!</v>
      </c>
      <c r="Q68" t="b">
        <v>0</v>
      </c>
      <c r="R68" s="5" t="str">
        <v>Even</v>
      </c>
      <c r="S68">
        <f t="shared" si="3"/>
        <v>119</v>
      </c>
      <c r="T68" t="str">
        <v/>
      </c>
      <c r="U68" t="str">
        <v>Bad</v>
      </c>
      <c r="V68" t="b">
        <v>0</v>
      </c>
      <c r="W68" t="str" cm="1">
        <f t="array" ref="W68">IF(AND(D68:D416&gt;40, K68:K416&lt;300, H68:H416&lt;8000), "Not Eligible", "Eligible")</f>
        <v>Eligible</v>
      </c>
      <c r="X68" t="str">
        <f t="shared" si="4"/>
        <v>Bad</v>
      </c>
      <c r="Y68" t="str">
        <f t="shared" si="5"/>
        <v/>
      </c>
      <c r="Z68" t="b">
        <v>1</v>
      </c>
    </row>
    <row r="69" spans="1:26" x14ac:dyDescent="0.3">
      <c r="A69" s="6">
        <v>68</v>
      </c>
      <c r="B69" s="6" t="s">
        <v>62</v>
      </c>
      <c r="C69" s="6" t="s">
        <v>61</v>
      </c>
      <c r="D69" s="6">
        <v>42</v>
      </c>
      <c r="E69" s="6" t="s">
        <v>14</v>
      </c>
      <c r="F69" s="6" t="s">
        <v>22</v>
      </c>
      <c r="G69" s="6">
        <v>8000</v>
      </c>
      <c r="H69" s="6">
        <v>73000</v>
      </c>
      <c r="I69" s="6" t="s">
        <v>23</v>
      </c>
      <c r="J69" s="6">
        <v>10000</v>
      </c>
      <c r="K69" s="6">
        <v>720</v>
      </c>
      <c r="L69" s="6" t="s">
        <v>31</v>
      </c>
      <c r="M69" s="6" t="s">
        <v>82</v>
      </c>
      <c r="N69" s="6" t="s">
        <v>18</v>
      </c>
      <c r="O69" s="5">
        <v>3</v>
      </c>
      <c r="P69">
        <v>7.3</v>
      </c>
      <c r="Q69" t="b">
        <v>1</v>
      </c>
      <c r="R69" s="5" t="str">
        <v>Even</v>
      </c>
      <c r="S69">
        <f t="shared" si="3"/>
        <v>21</v>
      </c>
      <c r="T69" t="str">
        <v>Good</v>
      </c>
      <c r="U69" t="str">
        <v/>
      </c>
      <c r="V69" t="b">
        <v>0</v>
      </c>
      <c r="W69" t="str" cm="1">
        <f t="array" ref="W69">IF(AND(D69:D417&gt;40, K69:K417&lt;300, H69:H417&lt;8000), "Not Eligible", "Eligible")</f>
        <v>Eligible</v>
      </c>
      <c r="X69" t="str">
        <f t="shared" si="4"/>
        <v>Good</v>
      </c>
      <c r="Y69" t="str">
        <f t="shared" si="5"/>
        <v>In Progress</v>
      </c>
      <c r="Z69" t="b">
        <v>0</v>
      </c>
    </row>
    <row r="70" spans="1:26" x14ac:dyDescent="0.3">
      <c r="A70" s="6">
        <v>69</v>
      </c>
      <c r="B70" s="6" t="s">
        <v>26</v>
      </c>
      <c r="C70" s="6" t="s">
        <v>47</v>
      </c>
      <c r="D70" s="6">
        <v>31</v>
      </c>
      <c r="E70" s="6" t="s">
        <v>21</v>
      </c>
      <c r="F70" s="6" t="s">
        <v>15</v>
      </c>
      <c r="G70" s="6">
        <v>1500</v>
      </c>
      <c r="H70" s="6">
        <v>51000</v>
      </c>
      <c r="I70" s="6" t="s">
        <v>16</v>
      </c>
      <c r="J70" s="6">
        <v>0</v>
      </c>
      <c r="K70" s="6">
        <v>680</v>
      </c>
      <c r="L70" s="6" t="s">
        <v>17</v>
      </c>
      <c r="M70" s="6" t="s">
        <v>80</v>
      </c>
      <c r="N70" s="6" t="s">
        <v>25</v>
      </c>
      <c r="O70" s="5">
        <v>7</v>
      </c>
      <c r="P70" t="e">
        <v>#DIV/0!</v>
      </c>
      <c r="Q70" t="b">
        <v>0</v>
      </c>
      <c r="R70" s="5" t="str">
        <v>Odd</v>
      </c>
      <c r="S70">
        <f t="shared" si="3"/>
        <v>204</v>
      </c>
      <c r="T70" t="str">
        <v/>
      </c>
      <c r="U70" t="str">
        <v>Bad</v>
      </c>
      <c r="V70" t="b">
        <v>0</v>
      </c>
      <c r="W70" t="str" cm="1">
        <f t="array" ref="W70">IF(AND(D70:D418&gt;40, K70:K418&lt;300, H70:H418&lt;8000), "Not Eligible", "Eligible")</f>
        <v>Eligible</v>
      </c>
      <c r="X70" t="str">
        <f t="shared" si="4"/>
        <v>Bad</v>
      </c>
      <c r="Y70" t="str">
        <f t="shared" si="5"/>
        <v/>
      </c>
      <c r="Z70" t="b">
        <v>1</v>
      </c>
    </row>
    <row r="71" spans="1:26" x14ac:dyDescent="0.3">
      <c r="A71" s="6">
        <v>70</v>
      </c>
      <c r="B71" s="6" t="s">
        <v>38</v>
      </c>
      <c r="C71" s="6" t="s">
        <v>49</v>
      </c>
      <c r="D71" s="6">
        <v>29</v>
      </c>
      <c r="E71" s="6" t="s">
        <v>14</v>
      </c>
      <c r="F71" s="6" t="s">
        <v>22</v>
      </c>
      <c r="G71" s="6">
        <v>5000</v>
      </c>
      <c r="H71" s="6">
        <v>53000</v>
      </c>
      <c r="I71" s="6" t="s">
        <v>23</v>
      </c>
      <c r="J71" s="6">
        <v>7000</v>
      </c>
      <c r="K71" s="6">
        <v>690</v>
      </c>
      <c r="L71" s="6" t="s">
        <v>24</v>
      </c>
      <c r="M71" s="6" t="s">
        <v>80</v>
      </c>
      <c r="N71" s="6" t="s">
        <v>18</v>
      </c>
      <c r="O71" s="5">
        <v>12</v>
      </c>
      <c r="P71">
        <v>7.5714285714285712</v>
      </c>
      <c r="Q71" t="b">
        <v>1</v>
      </c>
      <c r="R71" s="5" t="str">
        <v>Odd</v>
      </c>
      <c r="S71">
        <f t="shared" si="3"/>
        <v>156</v>
      </c>
      <c r="T71" t="str">
        <v>Good</v>
      </c>
      <c r="U71" t="str">
        <v/>
      </c>
      <c r="V71" t="b">
        <v>0</v>
      </c>
      <c r="W71" t="str" cm="1">
        <f t="array" ref="W71">IF(AND(D71:D419&gt;40, K71:K419&lt;300, H71:H419&lt;8000), "Not Eligible", "Eligible")</f>
        <v>Eligible</v>
      </c>
      <c r="X71" t="str">
        <f t="shared" si="4"/>
        <v>Good</v>
      </c>
      <c r="Y71" t="str">
        <f t="shared" si="5"/>
        <v>In Progress</v>
      </c>
      <c r="Z71" t="b">
        <v>0</v>
      </c>
    </row>
    <row r="72" spans="1:26" x14ac:dyDescent="0.3">
      <c r="A72" s="6">
        <v>71</v>
      </c>
      <c r="B72" s="6" t="s">
        <v>48</v>
      </c>
      <c r="C72" s="6" t="s">
        <v>30</v>
      </c>
      <c r="D72" s="6">
        <v>36</v>
      </c>
      <c r="E72" s="6" t="s">
        <v>21</v>
      </c>
      <c r="F72" s="6" t="s">
        <v>15</v>
      </c>
      <c r="G72" s="6">
        <v>6000</v>
      </c>
      <c r="H72" s="6">
        <v>67000</v>
      </c>
      <c r="I72" s="6" t="s">
        <v>16</v>
      </c>
      <c r="J72" s="6">
        <v>0</v>
      </c>
      <c r="K72" s="6">
        <v>710</v>
      </c>
      <c r="L72" s="6" t="s">
        <v>28</v>
      </c>
      <c r="M72" s="6" t="s">
        <v>80</v>
      </c>
      <c r="N72" s="6" t="s">
        <v>25</v>
      </c>
      <c r="O72" s="5">
        <v>11</v>
      </c>
      <c r="P72" t="e">
        <v>#DIV/0!</v>
      </c>
      <c r="Q72" t="b">
        <v>0</v>
      </c>
      <c r="R72" s="5" t="str">
        <v>Even</v>
      </c>
      <c r="S72">
        <f t="shared" si="3"/>
        <v>76</v>
      </c>
      <c r="T72" t="str">
        <v/>
      </c>
      <c r="U72" t="str">
        <v>Bad</v>
      </c>
      <c r="V72" t="b">
        <v>0</v>
      </c>
      <c r="W72" t="str" cm="1">
        <f t="array" ref="W72">IF(AND(D72:D420&gt;40, K72:K420&lt;300, H72:H420&lt;8000), "Not Eligible", "Eligible")</f>
        <v>Eligible</v>
      </c>
      <c r="X72" t="str">
        <f t="shared" si="4"/>
        <v>Bad</v>
      </c>
      <c r="Y72" t="str">
        <f t="shared" si="5"/>
        <v/>
      </c>
      <c r="Z72" t="b">
        <v>1</v>
      </c>
    </row>
    <row r="73" spans="1:26" x14ac:dyDescent="0.3">
      <c r="A73" s="6">
        <v>72</v>
      </c>
      <c r="B73" s="6" t="s">
        <v>34</v>
      </c>
      <c r="C73" s="6" t="s">
        <v>27</v>
      </c>
      <c r="D73" s="6">
        <v>43</v>
      </c>
      <c r="E73" s="6" t="s">
        <v>14</v>
      </c>
      <c r="F73" s="6" t="s">
        <v>15</v>
      </c>
      <c r="G73" s="6">
        <v>4000</v>
      </c>
      <c r="H73" s="6">
        <v>46000</v>
      </c>
      <c r="I73" s="6" t="s">
        <v>23</v>
      </c>
      <c r="J73" s="6">
        <v>6000</v>
      </c>
      <c r="K73" s="6">
        <v>720</v>
      </c>
      <c r="L73" s="6" t="s">
        <v>31</v>
      </c>
      <c r="M73" s="6" t="s">
        <v>81</v>
      </c>
      <c r="N73" s="6" t="s">
        <v>18</v>
      </c>
      <c r="O73" s="5" t="s">
        <v>319</v>
      </c>
      <c r="P73">
        <v>7.666666666666667</v>
      </c>
      <c r="Q73" t="b">
        <v>1</v>
      </c>
      <c r="R73" s="5" t="str">
        <v>Odd</v>
      </c>
      <c r="S73">
        <f t="shared" si="3"/>
        <v>21</v>
      </c>
      <c r="T73" t="str">
        <v>Good</v>
      </c>
      <c r="U73" t="str">
        <v/>
      </c>
      <c r="V73" t="b">
        <v>1</v>
      </c>
      <c r="W73" t="str" cm="1">
        <f t="array" ref="W73">IF(AND(D73:D421&gt;40, K73:K421&lt;300, H73:H421&lt;8000), "Not Eligible", "Eligible")</f>
        <v>Eligible</v>
      </c>
      <c r="X73" t="str">
        <f t="shared" si="4"/>
        <v>Good</v>
      </c>
      <c r="Y73" t="str">
        <f t="shared" si="5"/>
        <v>In Progress</v>
      </c>
      <c r="Z73" t="b">
        <v>0</v>
      </c>
    </row>
    <row r="74" spans="1:26" x14ac:dyDescent="0.3">
      <c r="A74" s="6">
        <v>73</v>
      </c>
      <c r="B74" s="6" t="s">
        <v>36</v>
      </c>
      <c r="C74" s="6" t="s">
        <v>53</v>
      </c>
      <c r="D74" s="6">
        <v>27</v>
      </c>
      <c r="E74" s="6" t="s">
        <v>21</v>
      </c>
      <c r="F74" s="6" t="s">
        <v>15</v>
      </c>
      <c r="G74" s="6">
        <v>2500</v>
      </c>
      <c r="H74" s="6">
        <v>47000</v>
      </c>
      <c r="I74" s="6" t="s">
        <v>16</v>
      </c>
      <c r="J74" s="6">
        <v>0</v>
      </c>
      <c r="K74" s="6">
        <v>670</v>
      </c>
      <c r="L74" s="6" t="s">
        <v>17</v>
      </c>
      <c r="M74" s="6" t="s">
        <v>81</v>
      </c>
      <c r="N74" s="6" t="s">
        <v>25</v>
      </c>
      <c r="O74" s="5">
        <v>5</v>
      </c>
      <c r="P74" t="e">
        <v>#DIV/0!</v>
      </c>
      <c r="Q74" t="b">
        <v>0</v>
      </c>
      <c r="R74" s="5" t="str">
        <v>Odd</v>
      </c>
      <c r="S74">
        <f t="shared" si="3"/>
        <v>252</v>
      </c>
      <c r="T74" t="str">
        <v/>
      </c>
      <c r="U74" t="str">
        <v>Bad</v>
      </c>
      <c r="V74" t="b">
        <v>0</v>
      </c>
      <c r="W74" t="str" cm="1">
        <f t="array" ref="W74">IF(AND(D74:D422&gt;40, K74:K422&lt;300, H74:H422&lt;8000), "Not Eligible", "Eligible")</f>
        <v>Eligible</v>
      </c>
      <c r="X74" t="str">
        <f t="shared" si="4"/>
        <v>Bad</v>
      </c>
      <c r="Y74" t="str">
        <f t="shared" si="5"/>
        <v/>
      </c>
      <c r="Z74" t="b">
        <v>1</v>
      </c>
    </row>
    <row r="75" spans="1:26" x14ac:dyDescent="0.3">
      <c r="A75" s="6">
        <v>74</v>
      </c>
      <c r="B75" s="6" t="s">
        <v>62</v>
      </c>
      <c r="C75" s="6" t="s">
        <v>67</v>
      </c>
      <c r="D75" s="6">
        <v>39</v>
      </c>
      <c r="E75" s="6" t="s">
        <v>14</v>
      </c>
      <c r="F75" s="6" t="s">
        <v>22</v>
      </c>
      <c r="G75" s="6">
        <v>9000</v>
      </c>
      <c r="H75" s="6">
        <v>70000</v>
      </c>
      <c r="I75" s="6" t="s">
        <v>23</v>
      </c>
      <c r="J75" s="6">
        <v>12000</v>
      </c>
      <c r="K75" s="6">
        <v>700</v>
      </c>
      <c r="L75" s="6" t="s">
        <v>24</v>
      </c>
      <c r="M75" s="6" t="s">
        <v>81</v>
      </c>
      <c r="N75" s="6" t="s">
        <v>18</v>
      </c>
      <c r="O75" s="5" t="s">
        <v>319</v>
      </c>
      <c r="P75">
        <v>5.833333333333333</v>
      </c>
      <c r="Q75" t="b">
        <v>1</v>
      </c>
      <c r="R75" s="5" t="str">
        <v>Odd</v>
      </c>
      <c r="S75">
        <f t="shared" si="3"/>
        <v>116</v>
      </c>
      <c r="T75" t="str">
        <v>Good</v>
      </c>
      <c r="U75" t="str">
        <v/>
      </c>
      <c r="V75" t="b">
        <v>1</v>
      </c>
      <c r="W75" t="str" cm="1">
        <f t="array" ref="W75">IF(AND(D75:D423&gt;40, K75:K423&lt;300, H75:H423&lt;8000), "Not Eligible", "Eligible")</f>
        <v>Eligible</v>
      </c>
      <c r="X75" t="str">
        <f t="shared" si="4"/>
        <v>Good</v>
      </c>
      <c r="Y75" t="str">
        <f t="shared" si="5"/>
        <v>In Progress</v>
      </c>
      <c r="Z75" t="b">
        <v>0</v>
      </c>
    </row>
    <row r="76" spans="1:26" x14ac:dyDescent="0.3">
      <c r="A76" s="6">
        <v>75</v>
      </c>
      <c r="B76" s="6" t="s">
        <v>72</v>
      </c>
      <c r="C76" s="6" t="s">
        <v>45</v>
      </c>
      <c r="D76" s="6">
        <v>31</v>
      </c>
      <c r="E76" s="6" t="s">
        <v>21</v>
      </c>
      <c r="F76" s="6" t="s">
        <v>15</v>
      </c>
      <c r="G76" s="6">
        <v>5000</v>
      </c>
      <c r="H76" s="6">
        <v>56000</v>
      </c>
      <c r="I76" s="6" t="s">
        <v>16</v>
      </c>
      <c r="J76" s="6">
        <v>0</v>
      </c>
      <c r="K76" s="6">
        <v>680</v>
      </c>
      <c r="L76" s="6" t="s">
        <v>28</v>
      </c>
      <c r="M76" s="6" t="s">
        <v>82</v>
      </c>
      <c r="N76" s="6" t="s">
        <v>25</v>
      </c>
      <c r="O76" s="5">
        <v>11</v>
      </c>
      <c r="P76" t="e">
        <v>#DIV/0!</v>
      </c>
      <c r="Q76" t="b">
        <v>0</v>
      </c>
      <c r="R76" s="5" t="str">
        <v>Odd</v>
      </c>
      <c r="S76">
        <f t="shared" si="3"/>
        <v>200</v>
      </c>
      <c r="T76" t="str">
        <v/>
      </c>
      <c r="U76" t="str">
        <v>Bad</v>
      </c>
      <c r="V76" t="b">
        <v>0</v>
      </c>
      <c r="W76" t="str" cm="1">
        <f t="array" ref="W76">IF(AND(D76:D424&gt;40, K76:K424&lt;300, H76:H424&lt;8000), "Not Eligible", "Eligible")</f>
        <v>Eligible</v>
      </c>
      <c r="X76" t="str">
        <f t="shared" si="4"/>
        <v>Bad</v>
      </c>
      <c r="Y76" t="str">
        <f t="shared" si="5"/>
        <v/>
      </c>
      <c r="Z76" t="b">
        <v>1</v>
      </c>
    </row>
    <row r="77" spans="1:26" x14ac:dyDescent="0.3">
      <c r="A77" s="6">
        <v>76</v>
      </c>
      <c r="B77" s="6" t="s">
        <v>58</v>
      </c>
      <c r="C77" s="6" t="s">
        <v>47</v>
      </c>
      <c r="D77" s="6">
        <v>28</v>
      </c>
      <c r="E77" s="6" t="s">
        <v>14</v>
      </c>
      <c r="F77" s="6" t="s">
        <v>22</v>
      </c>
      <c r="G77" s="6">
        <v>2000</v>
      </c>
      <c r="H77" s="6">
        <v>47000</v>
      </c>
      <c r="I77" s="6" t="s">
        <v>23</v>
      </c>
      <c r="J77" s="6">
        <v>5000</v>
      </c>
      <c r="K77" s="6">
        <v>690</v>
      </c>
      <c r="L77" s="6" t="s">
        <v>31</v>
      </c>
      <c r="M77" s="6" t="s">
        <v>82</v>
      </c>
      <c r="N77" s="6" t="s">
        <v>18</v>
      </c>
      <c r="O77" s="5">
        <v>11</v>
      </c>
      <c r="P77">
        <v>9.4</v>
      </c>
      <c r="Q77" t="b">
        <v>1</v>
      </c>
      <c r="R77" s="5" t="str">
        <v>Even</v>
      </c>
      <c r="S77">
        <f t="shared" si="3"/>
        <v>153</v>
      </c>
      <c r="T77" t="str">
        <v>Good</v>
      </c>
      <c r="U77" t="str">
        <v/>
      </c>
      <c r="V77" t="b">
        <v>0</v>
      </c>
      <c r="W77" t="str" cm="1">
        <f t="array" ref="W77">IF(AND(D77:D425&gt;40, K77:K425&lt;300, H77:H425&lt;8000), "Not Eligible", "Eligible")</f>
        <v>Eligible</v>
      </c>
      <c r="X77" t="str">
        <f t="shared" si="4"/>
        <v>Bad</v>
      </c>
      <c r="Y77" t="str">
        <f t="shared" si="5"/>
        <v>In Progress</v>
      </c>
      <c r="Z77" t="b">
        <v>0</v>
      </c>
    </row>
    <row r="78" spans="1:26" x14ac:dyDescent="0.3">
      <c r="A78" s="6">
        <v>77</v>
      </c>
      <c r="B78" s="6" t="s">
        <v>48</v>
      </c>
      <c r="C78" s="6" t="s">
        <v>67</v>
      </c>
      <c r="D78" s="6">
        <v>40</v>
      </c>
      <c r="E78" s="6" t="s">
        <v>21</v>
      </c>
      <c r="F78" s="6" t="s">
        <v>15</v>
      </c>
      <c r="G78" s="6">
        <v>7000</v>
      </c>
      <c r="H78" s="6">
        <v>68000</v>
      </c>
      <c r="I78" s="6" t="s">
        <v>16</v>
      </c>
      <c r="J78" s="6">
        <v>0</v>
      </c>
      <c r="K78" s="6">
        <v>710</v>
      </c>
      <c r="L78" s="6" t="s">
        <v>17</v>
      </c>
      <c r="M78" s="6" t="s">
        <v>82</v>
      </c>
      <c r="N78" s="6" t="s">
        <v>25</v>
      </c>
      <c r="O78" s="5">
        <v>6</v>
      </c>
      <c r="P78" t="e">
        <v>#DIV/0!</v>
      </c>
      <c r="Q78" t="b">
        <v>0</v>
      </c>
      <c r="R78" s="5" t="str">
        <v>Even</v>
      </c>
      <c r="S78">
        <f t="shared" si="3"/>
        <v>75</v>
      </c>
      <c r="T78" t="str">
        <v/>
      </c>
      <c r="U78" t="str">
        <v>Bad</v>
      </c>
      <c r="V78" t="b">
        <v>0</v>
      </c>
      <c r="W78" t="str" cm="1">
        <f t="array" ref="W78">IF(AND(D78:D426&gt;40, K78:K426&lt;300, H78:H426&lt;8000), "Not Eligible", "Eligible")</f>
        <v>Eligible</v>
      </c>
      <c r="X78" t="str">
        <f t="shared" si="4"/>
        <v>Bad</v>
      </c>
      <c r="Y78" t="str">
        <f t="shared" si="5"/>
        <v/>
      </c>
      <c r="Z78" t="b">
        <v>1</v>
      </c>
    </row>
    <row r="79" spans="1:26" x14ac:dyDescent="0.3">
      <c r="A79" s="6">
        <v>78</v>
      </c>
      <c r="B79" s="6" t="s">
        <v>42</v>
      </c>
      <c r="C79" s="6" t="s">
        <v>30</v>
      </c>
      <c r="D79" s="6">
        <v>36</v>
      </c>
      <c r="E79" s="6" t="s">
        <v>14</v>
      </c>
      <c r="F79" s="6" t="s">
        <v>22</v>
      </c>
      <c r="G79" s="6">
        <v>3000</v>
      </c>
      <c r="H79" s="6">
        <v>49000</v>
      </c>
      <c r="I79" s="6" t="s">
        <v>23</v>
      </c>
      <c r="J79" s="6">
        <v>6000</v>
      </c>
      <c r="K79" s="6">
        <v>700</v>
      </c>
      <c r="L79" s="6" t="s">
        <v>24</v>
      </c>
      <c r="M79" s="6" t="s">
        <v>80</v>
      </c>
      <c r="N79" s="6" t="s">
        <v>18</v>
      </c>
      <c r="O79" s="5">
        <v>6</v>
      </c>
      <c r="P79">
        <v>8.1666666666666661</v>
      </c>
      <c r="Q79" t="b">
        <v>1</v>
      </c>
      <c r="R79" s="5" t="str">
        <v>Even</v>
      </c>
      <c r="S79">
        <f t="shared" si="3"/>
        <v>115</v>
      </c>
      <c r="T79" t="str">
        <v>Good</v>
      </c>
      <c r="U79" t="str">
        <v/>
      </c>
      <c r="V79" t="b">
        <v>0</v>
      </c>
      <c r="W79" t="str" cm="1">
        <f t="array" ref="W79">IF(AND(D79:D427&gt;40, K79:K427&lt;300, H79:H427&lt;8000), "Not Eligible", "Eligible")</f>
        <v>Eligible</v>
      </c>
      <c r="X79" t="str">
        <f t="shared" si="4"/>
        <v>Good</v>
      </c>
      <c r="Y79" t="str">
        <f t="shared" si="5"/>
        <v>In Progress</v>
      </c>
      <c r="Z79" t="b">
        <v>0</v>
      </c>
    </row>
    <row r="80" spans="1:26" x14ac:dyDescent="0.3">
      <c r="A80" s="6">
        <v>79</v>
      </c>
      <c r="B80" s="6" t="s">
        <v>60</v>
      </c>
      <c r="C80" s="6" t="s">
        <v>61</v>
      </c>
      <c r="D80" s="6">
        <v>29</v>
      </c>
      <c r="E80" s="6" t="s">
        <v>21</v>
      </c>
      <c r="F80" s="6" t="s">
        <v>15</v>
      </c>
      <c r="G80" s="6">
        <v>2000</v>
      </c>
      <c r="H80" s="6">
        <v>45000</v>
      </c>
      <c r="I80" s="6" t="s">
        <v>16</v>
      </c>
      <c r="J80" s="6">
        <v>0</v>
      </c>
      <c r="K80" s="6">
        <v>670</v>
      </c>
      <c r="L80" s="6" t="s">
        <v>28</v>
      </c>
      <c r="M80" s="6" t="s">
        <v>80</v>
      </c>
      <c r="N80" s="6" t="s">
        <v>25</v>
      </c>
      <c r="O80" s="5">
        <v>5</v>
      </c>
      <c r="P80" t="e">
        <v>#DIV/0!</v>
      </c>
      <c r="Q80" t="b">
        <v>0</v>
      </c>
      <c r="R80" s="5" t="str">
        <v>Odd</v>
      </c>
      <c r="S80">
        <f t="shared" si="3"/>
        <v>247</v>
      </c>
      <c r="T80" t="str">
        <v/>
      </c>
      <c r="U80" t="str">
        <v>Bad</v>
      </c>
      <c r="V80" t="b">
        <v>0</v>
      </c>
      <c r="W80" t="str" cm="1">
        <f t="array" ref="W80">IF(AND(D80:D428&gt;40, K80:K428&lt;300, H80:H428&lt;8000), "Not Eligible", "Eligible")</f>
        <v>Eligible</v>
      </c>
      <c r="X80" t="str">
        <f t="shared" si="4"/>
        <v>Bad</v>
      </c>
      <c r="Y80" t="str">
        <f t="shared" si="5"/>
        <v/>
      </c>
      <c r="Z80" t="b">
        <v>1</v>
      </c>
    </row>
    <row r="81" spans="1:26" x14ac:dyDescent="0.3">
      <c r="A81" s="6">
        <v>80</v>
      </c>
      <c r="B81" s="6" t="s">
        <v>62</v>
      </c>
      <c r="C81" s="6" t="s">
        <v>45</v>
      </c>
      <c r="D81" s="6">
        <v>38</v>
      </c>
      <c r="E81" s="6" t="s">
        <v>14</v>
      </c>
      <c r="F81" s="6" t="s">
        <v>22</v>
      </c>
      <c r="G81" s="6">
        <v>6000</v>
      </c>
      <c r="H81" s="6">
        <v>71000</v>
      </c>
      <c r="I81" s="6" t="s">
        <v>23</v>
      </c>
      <c r="J81" s="6">
        <v>12000</v>
      </c>
      <c r="K81" s="6">
        <v>720</v>
      </c>
      <c r="L81" s="6" t="s">
        <v>31</v>
      </c>
      <c r="M81" s="6" t="s">
        <v>80</v>
      </c>
      <c r="N81" s="6" t="s">
        <v>18</v>
      </c>
      <c r="O81" s="5">
        <v>4</v>
      </c>
      <c r="P81">
        <v>5.916666666666667</v>
      </c>
      <c r="Q81" t="b">
        <v>1</v>
      </c>
      <c r="R81" s="5" t="str">
        <v>Even</v>
      </c>
      <c r="S81">
        <f t="shared" si="3"/>
        <v>21</v>
      </c>
      <c r="T81" t="str">
        <v>Good</v>
      </c>
      <c r="U81" t="str">
        <v/>
      </c>
      <c r="V81" t="b">
        <v>0</v>
      </c>
      <c r="W81" t="str" cm="1">
        <f t="array" ref="W81">IF(AND(D81:D429&gt;40, K81:K429&lt;300, H81:H429&lt;8000), "Not Eligible", "Eligible")</f>
        <v>Eligible</v>
      </c>
      <c r="X81" t="str">
        <f t="shared" si="4"/>
        <v>Good</v>
      </c>
      <c r="Y81" t="str">
        <f t="shared" si="5"/>
        <v>In Progress</v>
      </c>
      <c r="Z81" t="b">
        <v>0</v>
      </c>
    </row>
    <row r="82" spans="1:26" x14ac:dyDescent="0.3">
      <c r="A82" s="6">
        <v>81</v>
      </c>
      <c r="B82" s="7" t="s">
        <v>38</v>
      </c>
      <c r="C82" s="7" t="s">
        <v>20</v>
      </c>
      <c r="D82" s="6">
        <v>34</v>
      </c>
      <c r="E82" s="6" t="s">
        <v>14</v>
      </c>
      <c r="F82" s="6" t="s">
        <v>15</v>
      </c>
      <c r="G82" s="6">
        <v>2500</v>
      </c>
      <c r="H82" s="6">
        <v>55000</v>
      </c>
      <c r="I82" s="6" t="s">
        <v>16</v>
      </c>
      <c r="J82" s="6">
        <v>0</v>
      </c>
      <c r="K82" s="6">
        <v>720</v>
      </c>
      <c r="L82" s="6" t="s">
        <v>17</v>
      </c>
      <c r="M82" s="6" t="s">
        <v>80</v>
      </c>
      <c r="N82" s="6" t="s">
        <v>18</v>
      </c>
      <c r="O82" s="5">
        <v>6</v>
      </c>
      <c r="P82" t="e">
        <v>#DIV/0!</v>
      </c>
      <c r="Q82" t="b">
        <v>0</v>
      </c>
      <c r="R82" s="5" t="str">
        <v>Even</v>
      </c>
      <c r="S82">
        <f t="shared" si="3"/>
        <v>21</v>
      </c>
      <c r="T82" t="str">
        <v>Good</v>
      </c>
      <c r="U82" t="str">
        <v/>
      </c>
      <c r="V82" t="b">
        <v>0</v>
      </c>
      <c r="W82" t="str" cm="1">
        <f t="array" ref="W82">IF(AND(D82:D430&gt;40, K82:K430&lt;300, H82:H430&lt;8000), "Not Eligible", "Eligible")</f>
        <v>Eligible</v>
      </c>
      <c r="X82" t="str">
        <f t="shared" si="4"/>
        <v>Good</v>
      </c>
      <c r="Y82" t="str">
        <f t="shared" si="5"/>
        <v>In Progress</v>
      </c>
      <c r="Z82" t="b">
        <v>1</v>
      </c>
    </row>
    <row r="83" spans="1:26" x14ac:dyDescent="0.3">
      <c r="A83" s="6">
        <v>82</v>
      </c>
      <c r="B83" s="7" t="s">
        <v>117</v>
      </c>
      <c r="C83" s="7" t="s">
        <v>27</v>
      </c>
      <c r="D83" s="6">
        <v>29</v>
      </c>
      <c r="E83" s="6" t="s">
        <v>21</v>
      </c>
      <c r="F83" s="6" t="s">
        <v>22</v>
      </c>
      <c r="G83" s="6">
        <v>8000</v>
      </c>
      <c r="H83" s="6">
        <v>62000</v>
      </c>
      <c r="I83" s="6" t="s">
        <v>23</v>
      </c>
      <c r="J83" s="6">
        <v>15000</v>
      </c>
      <c r="K83" s="6">
        <v>680</v>
      </c>
      <c r="L83" s="6" t="s">
        <v>24</v>
      </c>
      <c r="M83" s="6" t="s">
        <v>81</v>
      </c>
      <c r="N83" s="6" t="s">
        <v>25</v>
      </c>
      <c r="O83" s="5">
        <v>5</v>
      </c>
      <c r="P83">
        <v>4.1333333333333337</v>
      </c>
      <c r="Q83" t="b">
        <v>1</v>
      </c>
      <c r="R83" s="5" t="str">
        <v>Odd</v>
      </c>
      <c r="S83">
        <f t="shared" si="3"/>
        <v>195</v>
      </c>
      <c r="T83" t="str">
        <v/>
      </c>
      <c r="U83" t="str">
        <v>Bad</v>
      </c>
      <c r="V83" t="b">
        <v>0</v>
      </c>
      <c r="W83" t="str" cm="1">
        <f t="array" ref="W83">IF(AND(D83:D431&gt;40, K83:K431&lt;300, H83:H431&lt;8000), "Not Eligible", "Eligible")</f>
        <v>Eligible</v>
      </c>
      <c r="X83" t="str">
        <f t="shared" si="4"/>
        <v>Bad</v>
      </c>
      <c r="Y83" t="str">
        <f t="shared" si="5"/>
        <v/>
      </c>
      <c r="Z83" t="b">
        <v>0</v>
      </c>
    </row>
    <row r="84" spans="1:26" x14ac:dyDescent="0.3">
      <c r="A84" s="6">
        <v>82</v>
      </c>
      <c r="B84" s="7" t="s">
        <v>12</v>
      </c>
      <c r="C84" s="7" t="s">
        <v>30</v>
      </c>
      <c r="D84" s="6">
        <v>45</v>
      </c>
      <c r="E84" s="6" t="s">
        <v>21</v>
      </c>
      <c r="F84" s="6" t="s">
        <v>15</v>
      </c>
      <c r="G84" s="6">
        <v>12000</v>
      </c>
      <c r="H84" s="6">
        <v>75000</v>
      </c>
      <c r="I84" s="6" t="s">
        <v>16</v>
      </c>
      <c r="J84" s="6">
        <v>0</v>
      </c>
      <c r="K84" s="6">
        <v>750</v>
      </c>
      <c r="L84" s="6" t="s">
        <v>28</v>
      </c>
      <c r="M84" s="6" t="s">
        <v>82</v>
      </c>
      <c r="N84" s="6" t="s">
        <v>18</v>
      </c>
      <c r="O84" s="5">
        <v>14</v>
      </c>
      <c r="P84" t="e">
        <v>#DIV/0!</v>
      </c>
      <c r="Q84" t="b">
        <v>0</v>
      </c>
      <c r="R84" s="5" t="str">
        <v>Odd</v>
      </c>
      <c r="S84">
        <f t="shared" si="3"/>
        <v>1</v>
      </c>
      <c r="T84" t="str">
        <v>Good</v>
      </c>
      <c r="U84" t="str">
        <v/>
      </c>
      <c r="V84" t="b">
        <v>0</v>
      </c>
      <c r="W84" t="str" cm="1">
        <f t="array" ref="W84">IF(AND(D84:D432&gt;40, K84:K432&lt;300, H84:H432&lt;8000), "Not Eligible", "Eligible")</f>
        <v>Eligible</v>
      </c>
      <c r="X84" t="str">
        <f t="shared" si="4"/>
        <v>Bad</v>
      </c>
      <c r="Y84" t="str">
        <f t="shared" si="5"/>
        <v>In Progress</v>
      </c>
      <c r="Z84" t="b">
        <v>1</v>
      </c>
    </row>
    <row r="85" spans="1:26" x14ac:dyDescent="0.3">
      <c r="A85" s="6">
        <v>84</v>
      </c>
      <c r="B85" s="7" t="s">
        <v>118</v>
      </c>
      <c r="C85" s="7" t="s">
        <v>119</v>
      </c>
      <c r="D85" s="6">
        <v>52</v>
      </c>
      <c r="E85" s="6" t="s">
        <v>14</v>
      </c>
      <c r="F85" s="6" t="s">
        <v>22</v>
      </c>
      <c r="G85" s="6">
        <v>3000</v>
      </c>
      <c r="H85" s="6">
        <v>48000</v>
      </c>
      <c r="I85" s="6" t="s">
        <v>23</v>
      </c>
      <c r="J85" s="6">
        <v>5000</v>
      </c>
      <c r="K85" s="6">
        <v>690</v>
      </c>
      <c r="L85" s="6" t="s">
        <v>31</v>
      </c>
      <c r="M85" s="6" t="s">
        <v>80</v>
      </c>
      <c r="N85" s="6" t="s">
        <v>18</v>
      </c>
      <c r="O85" s="5">
        <v>12</v>
      </c>
      <c r="P85">
        <v>9.6</v>
      </c>
      <c r="Q85" t="b">
        <v>1</v>
      </c>
      <c r="R85" s="5" t="str">
        <v>Even</v>
      </c>
      <c r="S85">
        <f t="shared" si="3"/>
        <v>148</v>
      </c>
      <c r="T85" t="str">
        <v>Good</v>
      </c>
      <c r="U85" t="str">
        <v/>
      </c>
      <c r="V85" t="b">
        <v>0</v>
      </c>
      <c r="W85" t="str" cm="1">
        <f t="array" ref="W85">IF(AND(D85:D433&gt;40, K85:K433&lt;300, H85:H433&lt;8000), "Not Eligible", "Eligible")</f>
        <v>Eligible</v>
      </c>
      <c r="X85" t="str">
        <f t="shared" si="4"/>
        <v>Good</v>
      </c>
      <c r="Y85" t="str">
        <f t="shared" si="5"/>
        <v>In Progress</v>
      </c>
      <c r="Z85" t="b">
        <v>0</v>
      </c>
    </row>
    <row r="86" spans="1:26" x14ac:dyDescent="0.3">
      <c r="A86" s="6">
        <v>85</v>
      </c>
      <c r="B86" s="7" t="s">
        <v>120</v>
      </c>
      <c r="C86" s="7" t="s">
        <v>121</v>
      </c>
      <c r="D86" s="6">
        <v>37</v>
      </c>
      <c r="E86" s="6" t="s">
        <v>21</v>
      </c>
      <c r="F86" s="6" t="s">
        <v>15</v>
      </c>
      <c r="G86" s="6">
        <v>5000</v>
      </c>
      <c r="H86" s="6">
        <v>58000</v>
      </c>
      <c r="I86" s="6" t="s">
        <v>16</v>
      </c>
      <c r="J86" s="6">
        <v>0</v>
      </c>
      <c r="K86" s="6">
        <v>710</v>
      </c>
      <c r="L86" s="6" t="s">
        <v>17</v>
      </c>
      <c r="M86" s="6" t="s">
        <v>80</v>
      </c>
      <c r="N86" s="6" t="s">
        <v>25</v>
      </c>
      <c r="O86" s="5">
        <v>11</v>
      </c>
      <c r="P86" t="e">
        <v>#DIV/0!</v>
      </c>
      <c r="Q86" t="b">
        <v>0</v>
      </c>
      <c r="R86" s="5" t="str">
        <v>Odd</v>
      </c>
      <c r="S86">
        <f t="shared" si="3"/>
        <v>72</v>
      </c>
      <c r="T86" t="str">
        <v/>
      </c>
      <c r="U86" t="str">
        <v>Bad</v>
      </c>
      <c r="V86" t="b">
        <v>0</v>
      </c>
      <c r="W86" t="str" cm="1">
        <f t="array" ref="W86">IF(AND(D86:D434&gt;40, K86:K434&lt;300, H86:H434&lt;8000), "Not Eligible", "Eligible")</f>
        <v>Eligible</v>
      </c>
      <c r="X86" t="str">
        <f t="shared" si="4"/>
        <v>Bad</v>
      </c>
      <c r="Y86" t="str">
        <f t="shared" si="5"/>
        <v/>
      </c>
      <c r="Z86" t="b">
        <v>1</v>
      </c>
    </row>
    <row r="87" spans="1:26" x14ac:dyDescent="0.3">
      <c r="A87" s="6">
        <v>86</v>
      </c>
      <c r="B87" s="7" t="s">
        <v>122</v>
      </c>
      <c r="C87" s="7" t="s">
        <v>123</v>
      </c>
      <c r="D87" s="6">
        <v>30</v>
      </c>
      <c r="E87" s="6" t="s">
        <v>14</v>
      </c>
      <c r="F87" s="6" t="s">
        <v>22</v>
      </c>
      <c r="G87" s="6">
        <v>6000</v>
      </c>
      <c r="H87" s="6">
        <v>70000</v>
      </c>
      <c r="I87" s="6" t="s">
        <v>23</v>
      </c>
      <c r="J87" s="6">
        <v>20000</v>
      </c>
      <c r="K87" s="6">
        <v>700</v>
      </c>
      <c r="L87" s="6" t="s">
        <v>24</v>
      </c>
      <c r="M87" s="6" t="s">
        <v>80</v>
      </c>
      <c r="N87" s="6" t="s">
        <v>18</v>
      </c>
      <c r="O87" s="5">
        <v>8</v>
      </c>
      <c r="P87">
        <v>3.5</v>
      </c>
      <c r="Q87" t="b">
        <v>1</v>
      </c>
      <c r="R87" s="5" t="str">
        <v>Even</v>
      </c>
      <c r="S87">
        <f t="shared" si="3"/>
        <v>111</v>
      </c>
      <c r="T87" t="str">
        <v>Good</v>
      </c>
      <c r="U87" t="str">
        <v/>
      </c>
      <c r="V87" t="b">
        <v>0</v>
      </c>
      <c r="W87" t="str" cm="1">
        <f t="array" ref="W87">IF(AND(D87:D435&gt;40, K87:K435&lt;300, H87:H435&lt;8000), "Not Eligible", "Eligible")</f>
        <v>Eligible</v>
      </c>
      <c r="X87" t="str">
        <f t="shared" si="4"/>
        <v>Good</v>
      </c>
      <c r="Y87" t="str">
        <f t="shared" si="5"/>
        <v>In Progress</v>
      </c>
      <c r="Z87" t="b">
        <v>0</v>
      </c>
    </row>
    <row r="88" spans="1:26" x14ac:dyDescent="0.3">
      <c r="A88" s="5">
        <f>ROW()-1</f>
        <v>87</v>
      </c>
      <c r="B88" s="7" t="s">
        <v>29</v>
      </c>
      <c r="C88" s="7" t="s">
        <v>33</v>
      </c>
      <c r="D88" s="6">
        <v>40</v>
      </c>
      <c r="E88" s="6" t="s">
        <v>21</v>
      </c>
      <c r="F88" s="6" t="s">
        <v>15</v>
      </c>
      <c r="G88" s="6">
        <v>15000</v>
      </c>
      <c r="H88" s="6">
        <v>82000</v>
      </c>
      <c r="I88" s="6" t="s">
        <v>16</v>
      </c>
      <c r="J88" s="6">
        <v>0</v>
      </c>
      <c r="K88" s="6">
        <v>730</v>
      </c>
      <c r="L88" s="6" t="s">
        <v>28</v>
      </c>
      <c r="M88" s="6" t="s">
        <v>80</v>
      </c>
      <c r="N88" s="6" t="s">
        <v>25</v>
      </c>
      <c r="O88" s="5">
        <v>4</v>
      </c>
      <c r="P88" t="e">
        <v>#DIV/0!</v>
      </c>
      <c r="Q88" t="b">
        <v>0</v>
      </c>
      <c r="R88" s="5" t="str">
        <v>Even</v>
      </c>
      <c r="S88">
        <f t="shared" si="3"/>
        <v>16</v>
      </c>
      <c r="T88" t="str">
        <v/>
      </c>
      <c r="U88" t="str">
        <v>Bad</v>
      </c>
      <c r="V88" t="b">
        <v>0</v>
      </c>
      <c r="W88" t="str" cm="1">
        <f t="array" ref="W88">IF(AND(D88:D436&gt;40, K88:K436&lt;300, H88:H436&lt;8000), "Not Eligible", "Eligible")</f>
        <v>Eligible</v>
      </c>
      <c r="X88" t="str">
        <f t="shared" si="4"/>
        <v>Bad</v>
      </c>
      <c r="Y88" t="str">
        <f t="shared" si="5"/>
        <v/>
      </c>
      <c r="Z88" t="b">
        <v>1</v>
      </c>
    </row>
    <row r="89" spans="1:26" x14ac:dyDescent="0.3">
      <c r="A89" s="5">
        <f t="shared" ref="A89:A152" si="6">ROW()-1</f>
        <v>88</v>
      </c>
      <c r="B89" s="7" t="s">
        <v>124</v>
      </c>
      <c r="C89" s="7" t="s">
        <v>125</v>
      </c>
      <c r="D89" s="6">
        <v>25</v>
      </c>
      <c r="E89" s="6" t="s">
        <v>14</v>
      </c>
      <c r="F89" s="6" t="s">
        <v>22</v>
      </c>
      <c r="G89" s="6">
        <v>2000</v>
      </c>
      <c r="H89" s="6">
        <v>43000</v>
      </c>
      <c r="I89" s="6" t="s">
        <v>16</v>
      </c>
      <c r="J89" s="6">
        <v>0</v>
      </c>
      <c r="K89" s="6">
        <v>670</v>
      </c>
      <c r="L89" s="6" t="s">
        <v>31</v>
      </c>
      <c r="M89" s="6" t="s">
        <v>81</v>
      </c>
      <c r="N89" s="6" t="s">
        <v>18</v>
      </c>
      <c r="O89" s="5">
        <v>13</v>
      </c>
      <c r="P89" t="e">
        <v>#DIV/0!</v>
      </c>
      <c r="Q89" t="b">
        <v>0</v>
      </c>
      <c r="R89" s="5" t="str">
        <v>Odd</v>
      </c>
      <c r="S89">
        <f t="shared" si="3"/>
        <v>239</v>
      </c>
      <c r="T89" t="str">
        <v>Good</v>
      </c>
      <c r="U89" t="str">
        <v/>
      </c>
      <c r="V89" t="b">
        <v>0</v>
      </c>
      <c r="W89" t="str" cm="1">
        <f t="array" ref="W89">IF(AND(D89:D437&gt;40, K89:K437&lt;300, H89:H437&lt;8000), "Not Eligible", "Eligible")</f>
        <v>Eligible</v>
      </c>
      <c r="X89" t="str">
        <f t="shared" si="4"/>
        <v>Bad</v>
      </c>
      <c r="Y89" t="str">
        <f t="shared" si="5"/>
        <v>In Progress</v>
      </c>
      <c r="Z89" t="b">
        <v>1</v>
      </c>
    </row>
    <row r="90" spans="1:26" x14ac:dyDescent="0.3">
      <c r="A90" s="5">
        <f t="shared" si="6"/>
        <v>89</v>
      </c>
      <c r="B90" s="7" t="s">
        <v>34</v>
      </c>
      <c r="C90" s="7" t="s">
        <v>126</v>
      </c>
      <c r="D90" s="6">
        <v>31</v>
      </c>
      <c r="E90" s="6" t="s">
        <v>21</v>
      </c>
      <c r="F90" s="6" t="s">
        <v>15</v>
      </c>
      <c r="G90" s="6">
        <v>7000</v>
      </c>
      <c r="H90" s="6">
        <v>55000</v>
      </c>
      <c r="I90" s="6" t="s">
        <v>23</v>
      </c>
      <c r="J90" s="6">
        <v>10000</v>
      </c>
      <c r="K90" s="6">
        <v>720</v>
      </c>
      <c r="L90" s="6" t="s">
        <v>17</v>
      </c>
      <c r="M90" s="6" t="s">
        <v>81</v>
      </c>
      <c r="N90" s="6" t="s">
        <v>18</v>
      </c>
      <c r="O90" s="5">
        <v>7</v>
      </c>
      <c r="P90">
        <v>5.5</v>
      </c>
      <c r="Q90" t="b">
        <v>1</v>
      </c>
      <c r="R90" s="5" t="str">
        <v>Odd</v>
      </c>
      <c r="S90">
        <f t="shared" si="3"/>
        <v>19</v>
      </c>
      <c r="T90" t="str">
        <v>Good</v>
      </c>
      <c r="U90" t="str">
        <v/>
      </c>
      <c r="V90" t="b">
        <v>0</v>
      </c>
      <c r="W90" t="str" cm="1">
        <f t="array" ref="W90">IF(AND(D90:D438&gt;40, K90:K438&lt;300, H90:H438&lt;8000), "Not Eligible", "Eligible")</f>
        <v>Eligible</v>
      </c>
      <c r="X90" t="str">
        <f t="shared" si="4"/>
        <v>Bad</v>
      </c>
      <c r="Y90" t="str">
        <f t="shared" si="5"/>
        <v>In Progress</v>
      </c>
      <c r="Z90" t="b">
        <v>0</v>
      </c>
    </row>
    <row r="91" spans="1:26" x14ac:dyDescent="0.3">
      <c r="A91" s="5">
        <f t="shared" si="6"/>
        <v>90</v>
      </c>
      <c r="B91" s="7" t="s">
        <v>127</v>
      </c>
      <c r="C91" s="7" t="s">
        <v>39</v>
      </c>
      <c r="D91" s="6">
        <v>44</v>
      </c>
      <c r="E91" s="6" t="s">
        <v>14</v>
      </c>
      <c r="F91" s="6" t="s">
        <v>22</v>
      </c>
      <c r="G91" s="6">
        <v>11000</v>
      </c>
      <c r="H91" s="6">
        <v>65000</v>
      </c>
      <c r="I91" s="6" t="s">
        <v>16</v>
      </c>
      <c r="J91" s="6">
        <v>0</v>
      </c>
      <c r="K91" s="6">
        <v>740</v>
      </c>
      <c r="L91" s="6" t="s">
        <v>24</v>
      </c>
      <c r="M91" s="6" t="s">
        <v>82</v>
      </c>
      <c r="N91" s="6" t="s">
        <v>25</v>
      </c>
      <c r="O91" s="5">
        <v>4</v>
      </c>
      <c r="P91" t="e">
        <v>#DIV/0!</v>
      </c>
      <c r="Q91" t="b">
        <v>0</v>
      </c>
      <c r="R91" s="5" t="str">
        <v>Even</v>
      </c>
      <c r="S91">
        <f t="shared" si="3"/>
        <v>4</v>
      </c>
      <c r="T91" t="str">
        <v/>
      </c>
      <c r="U91" t="str">
        <v>Bad</v>
      </c>
      <c r="V91" t="b">
        <v>0</v>
      </c>
      <c r="W91" t="str" cm="1">
        <f t="array" ref="W91">IF(AND(D91:D439&gt;40, K91:K439&lt;300, H91:H439&lt;8000), "Not Eligible", "Eligible")</f>
        <v>Eligible</v>
      </c>
      <c r="X91" t="str">
        <f t="shared" si="4"/>
        <v>Good</v>
      </c>
      <c r="Y91" t="str">
        <f t="shared" si="5"/>
        <v/>
      </c>
      <c r="Z91" t="b">
        <v>1</v>
      </c>
    </row>
    <row r="92" spans="1:26" x14ac:dyDescent="0.3">
      <c r="A92" s="5">
        <f t="shared" si="6"/>
        <v>91</v>
      </c>
      <c r="B92" s="7" t="s">
        <v>128</v>
      </c>
      <c r="C92" s="7" t="s">
        <v>35</v>
      </c>
      <c r="D92" s="6">
        <v>28</v>
      </c>
      <c r="E92" s="6" t="s">
        <v>21</v>
      </c>
      <c r="F92" s="6" t="s">
        <v>15</v>
      </c>
      <c r="G92" s="6">
        <v>4500</v>
      </c>
      <c r="H92" s="6">
        <v>47000</v>
      </c>
      <c r="I92" s="6" t="s">
        <v>16</v>
      </c>
      <c r="J92" s="6">
        <v>0</v>
      </c>
      <c r="K92" s="6">
        <v>690</v>
      </c>
      <c r="L92" s="6" t="s">
        <v>28</v>
      </c>
      <c r="M92" s="6" t="s">
        <v>80</v>
      </c>
      <c r="N92" s="6" t="s">
        <v>18</v>
      </c>
      <c r="O92" s="5">
        <v>14</v>
      </c>
      <c r="P92" t="e">
        <v>#DIV/0!</v>
      </c>
      <c r="Q92" t="b">
        <v>0</v>
      </c>
      <c r="R92" s="5" t="str">
        <v>Even</v>
      </c>
      <c r="S92">
        <f t="shared" si="3"/>
        <v>143</v>
      </c>
      <c r="T92" t="str">
        <v>Good</v>
      </c>
      <c r="U92" t="str">
        <v/>
      </c>
      <c r="V92" t="b">
        <v>0</v>
      </c>
      <c r="W92" t="str" cm="1">
        <f t="array" ref="W92">IF(AND(D92:D440&gt;40, K92:K440&lt;300, H92:H440&lt;8000), "Not Eligible", "Eligible")</f>
        <v>Eligible</v>
      </c>
      <c r="X92" t="str">
        <f t="shared" si="4"/>
        <v>Bad</v>
      </c>
      <c r="Y92" t="str">
        <f t="shared" si="5"/>
        <v>In Progress</v>
      </c>
      <c r="Z92" t="b">
        <v>1</v>
      </c>
    </row>
    <row r="93" spans="1:26" x14ac:dyDescent="0.3">
      <c r="A93" s="5">
        <f t="shared" si="6"/>
        <v>92</v>
      </c>
      <c r="B93" s="7" t="s">
        <v>129</v>
      </c>
      <c r="C93" s="7" t="s">
        <v>41</v>
      </c>
      <c r="D93" s="6">
        <v>39</v>
      </c>
      <c r="E93" s="6" t="s">
        <v>14</v>
      </c>
      <c r="F93" s="6" t="s">
        <v>22</v>
      </c>
      <c r="G93" s="6">
        <v>10000</v>
      </c>
      <c r="H93" s="6">
        <v>72000</v>
      </c>
      <c r="I93" s="6" t="s">
        <v>23</v>
      </c>
      <c r="J93" s="6">
        <v>12000</v>
      </c>
      <c r="K93" s="6">
        <v>700</v>
      </c>
      <c r="L93" s="6" t="s">
        <v>31</v>
      </c>
      <c r="M93" s="6" t="s">
        <v>82</v>
      </c>
      <c r="N93" s="6" t="s">
        <v>18</v>
      </c>
      <c r="O93" s="5">
        <v>5</v>
      </c>
      <c r="P93">
        <v>6</v>
      </c>
      <c r="Q93" t="b">
        <v>1</v>
      </c>
      <c r="R93" s="5" t="str">
        <v>Odd</v>
      </c>
      <c r="S93">
        <f t="shared" si="3"/>
        <v>108</v>
      </c>
      <c r="T93" t="str">
        <v>Good</v>
      </c>
      <c r="U93" t="str">
        <v/>
      </c>
      <c r="V93" t="b">
        <v>0</v>
      </c>
      <c r="W93" t="str" cm="1">
        <f t="array" ref="W93">IF(AND(D93:D441&gt;40, K93:K441&lt;300, H93:H441&lt;8000), "Not Eligible", "Eligible")</f>
        <v>Eligible</v>
      </c>
      <c r="X93" t="str">
        <f t="shared" si="4"/>
        <v>Good</v>
      </c>
      <c r="Y93" t="str">
        <f t="shared" si="5"/>
        <v>In Progress</v>
      </c>
      <c r="Z93" t="b">
        <v>0</v>
      </c>
    </row>
    <row r="94" spans="1:26" x14ac:dyDescent="0.3">
      <c r="A94" s="5">
        <f t="shared" si="6"/>
        <v>93</v>
      </c>
      <c r="B94" s="7" t="s">
        <v>130</v>
      </c>
      <c r="C94" s="7" t="s">
        <v>131</v>
      </c>
      <c r="D94" s="6">
        <v>26</v>
      </c>
      <c r="E94" s="6" t="s">
        <v>21</v>
      </c>
      <c r="F94" s="6" t="s">
        <v>15</v>
      </c>
      <c r="G94" s="6">
        <v>3500</v>
      </c>
      <c r="H94" s="6">
        <v>53000</v>
      </c>
      <c r="I94" s="6" t="s">
        <v>16</v>
      </c>
      <c r="J94" s="6">
        <v>0</v>
      </c>
      <c r="K94" s="6">
        <v>680</v>
      </c>
      <c r="L94" s="6" t="s">
        <v>17</v>
      </c>
      <c r="M94" s="6" t="s">
        <v>81</v>
      </c>
      <c r="N94" s="6" t="s">
        <v>25</v>
      </c>
      <c r="O94" s="5">
        <v>10</v>
      </c>
      <c r="P94" t="e">
        <v>#DIV/0!</v>
      </c>
      <c r="Q94" t="b">
        <v>0</v>
      </c>
      <c r="R94" s="5" t="str">
        <v>Even</v>
      </c>
      <c r="S94">
        <f t="shared" si="3"/>
        <v>186</v>
      </c>
      <c r="T94" t="str">
        <v/>
      </c>
      <c r="U94" t="str">
        <v>Bad</v>
      </c>
      <c r="V94" t="b">
        <v>0</v>
      </c>
      <c r="W94" t="str" cm="1">
        <f t="array" ref="W94">IF(AND(D94:D442&gt;40, K94:K442&lt;300, H94:H442&lt;8000), "Not Eligible", "Eligible")</f>
        <v>Eligible</v>
      </c>
      <c r="X94" t="str">
        <f t="shared" si="4"/>
        <v>Bad</v>
      </c>
      <c r="Y94" t="str">
        <f t="shared" si="5"/>
        <v/>
      </c>
      <c r="Z94" t="b">
        <v>1</v>
      </c>
    </row>
    <row r="95" spans="1:26" x14ac:dyDescent="0.3">
      <c r="A95" s="5">
        <f t="shared" si="6"/>
        <v>94</v>
      </c>
      <c r="B95" s="7" t="s">
        <v>132</v>
      </c>
      <c r="C95" s="7" t="s">
        <v>43</v>
      </c>
      <c r="D95" s="6">
        <v>33</v>
      </c>
      <c r="E95" s="6" t="s">
        <v>14</v>
      </c>
      <c r="F95" s="6" t="s">
        <v>22</v>
      </c>
      <c r="G95" s="6">
        <v>8000</v>
      </c>
      <c r="H95" s="6">
        <v>60000</v>
      </c>
      <c r="I95" s="6" t="s">
        <v>23</v>
      </c>
      <c r="J95" s="6">
        <v>8000</v>
      </c>
      <c r="K95" s="6">
        <v>710</v>
      </c>
      <c r="L95" s="6" t="s">
        <v>24</v>
      </c>
      <c r="M95" s="6" t="s">
        <v>80</v>
      </c>
      <c r="N95" s="6" t="s">
        <v>18</v>
      </c>
      <c r="O95" s="5">
        <v>10</v>
      </c>
      <c r="P95">
        <v>7.5</v>
      </c>
      <c r="Q95" t="b">
        <v>1</v>
      </c>
      <c r="R95" s="5" t="str">
        <v>Odd</v>
      </c>
      <c r="S95">
        <f t="shared" si="3"/>
        <v>69</v>
      </c>
      <c r="T95" t="str">
        <v>Good</v>
      </c>
      <c r="U95" t="str">
        <v/>
      </c>
      <c r="V95" t="b">
        <v>0</v>
      </c>
      <c r="W95" t="str" cm="1">
        <f t="array" ref="W95">IF(AND(D95:D443&gt;40, K95:K443&lt;300, H95:H443&lt;8000), "Not Eligible", "Eligible")</f>
        <v>Eligible</v>
      </c>
      <c r="X95" t="str">
        <f t="shared" si="4"/>
        <v>Good</v>
      </c>
      <c r="Y95" t="str">
        <f t="shared" si="5"/>
        <v>In Progress</v>
      </c>
      <c r="Z95" t="b">
        <v>0</v>
      </c>
    </row>
    <row r="96" spans="1:26" x14ac:dyDescent="0.3">
      <c r="A96" s="5">
        <f t="shared" si="6"/>
        <v>95</v>
      </c>
      <c r="B96" s="7" t="s">
        <v>133</v>
      </c>
      <c r="C96" s="7" t="s">
        <v>134</v>
      </c>
      <c r="D96" s="6">
        <v>46</v>
      </c>
      <c r="E96" s="6" t="s">
        <v>21</v>
      </c>
      <c r="F96" s="6" t="s">
        <v>15</v>
      </c>
      <c r="G96" s="6">
        <v>13000</v>
      </c>
      <c r="H96" s="6">
        <v>85000</v>
      </c>
      <c r="I96" s="6" t="s">
        <v>16</v>
      </c>
      <c r="J96" s="6">
        <v>0</v>
      </c>
      <c r="K96" s="6">
        <v>740</v>
      </c>
      <c r="L96" s="6" t="s">
        <v>28</v>
      </c>
      <c r="M96" s="6" t="s">
        <v>82</v>
      </c>
      <c r="N96" s="6" t="s">
        <v>25</v>
      </c>
      <c r="O96" s="5">
        <v>7</v>
      </c>
      <c r="P96" t="e">
        <v>#DIV/0!</v>
      </c>
      <c r="Q96" t="b">
        <v>0</v>
      </c>
      <c r="R96" s="5" t="str">
        <v>Even</v>
      </c>
      <c r="S96">
        <f t="shared" si="3"/>
        <v>4</v>
      </c>
      <c r="T96" t="str">
        <v/>
      </c>
      <c r="U96" t="str">
        <v>Bad</v>
      </c>
      <c r="V96" t="b">
        <v>0</v>
      </c>
      <c r="W96" t="str" cm="1">
        <f t="array" ref="W96">IF(AND(D96:D444&gt;40, K96:K444&lt;300, H96:H444&lt;8000), "Not Eligible", "Eligible")</f>
        <v>Eligible</v>
      </c>
      <c r="X96" t="str">
        <f t="shared" si="4"/>
        <v>Bad</v>
      </c>
      <c r="Y96" t="str">
        <f t="shared" si="5"/>
        <v/>
      </c>
      <c r="Z96" t="b">
        <v>1</v>
      </c>
    </row>
    <row r="97" spans="1:26" x14ac:dyDescent="0.3">
      <c r="A97" s="5">
        <f t="shared" si="6"/>
        <v>96</v>
      </c>
      <c r="B97" s="7" t="s">
        <v>135</v>
      </c>
      <c r="C97" s="7" t="s">
        <v>136</v>
      </c>
      <c r="D97" s="6">
        <v>52</v>
      </c>
      <c r="E97" s="6" t="s">
        <v>14</v>
      </c>
      <c r="F97" s="6" t="s">
        <v>22</v>
      </c>
      <c r="G97" s="6">
        <v>4000</v>
      </c>
      <c r="H97" s="6">
        <v>49000</v>
      </c>
      <c r="I97" s="6" t="s">
        <v>23</v>
      </c>
      <c r="J97" s="6">
        <v>7000</v>
      </c>
      <c r="K97" s="6">
        <v>690</v>
      </c>
      <c r="L97" s="6" t="s">
        <v>31</v>
      </c>
      <c r="M97" s="6" t="s">
        <v>80</v>
      </c>
      <c r="N97" s="6" t="s">
        <v>18</v>
      </c>
      <c r="O97" s="5">
        <v>5</v>
      </c>
      <c r="P97">
        <v>7</v>
      </c>
      <c r="Q97" t="b">
        <v>1</v>
      </c>
      <c r="R97" s="5" t="str">
        <v>Even</v>
      </c>
      <c r="S97">
        <f t="shared" si="3"/>
        <v>140</v>
      </c>
      <c r="T97" t="str">
        <v>Good</v>
      </c>
      <c r="U97" t="str">
        <v/>
      </c>
      <c r="V97" t="b">
        <v>0</v>
      </c>
      <c r="W97" t="str" cm="1">
        <f t="array" ref="W97">IF(AND(D97:D445&gt;40, K97:K445&lt;300, H97:H445&lt;8000), "Not Eligible", "Eligible")</f>
        <v>Eligible</v>
      </c>
      <c r="X97" t="str">
        <f t="shared" si="4"/>
        <v>Good</v>
      </c>
      <c r="Y97" t="str">
        <f t="shared" si="5"/>
        <v>In Progress</v>
      </c>
      <c r="Z97" t="b">
        <v>0</v>
      </c>
    </row>
    <row r="98" spans="1:26" x14ac:dyDescent="0.3">
      <c r="A98" s="5">
        <f t="shared" si="6"/>
        <v>97</v>
      </c>
      <c r="B98" s="7" t="s">
        <v>43</v>
      </c>
      <c r="C98" s="7" t="s">
        <v>137</v>
      </c>
      <c r="D98" s="6">
        <v>24</v>
      </c>
      <c r="E98" s="6" t="s">
        <v>14</v>
      </c>
      <c r="F98" s="6" t="s">
        <v>15</v>
      </c>
      <c r="G98" s="6">
        <v>2200</v>
      </c>
      <c r="H98" s="6">
        <v>45000</v>
      </c>
      <c r="I98" s="6" t="s">
        <v>16</v>
      </c>
      <c r="J98" s="6">
        <v>0</v>
      </c>
      <c r="K98" s="6">
        <v>670</v>
      </c>
      <c r="L98" s="6" t="s">
        <v>17</v>
      </c>
      <c r="M98" s="6" t="s">
        <v>81</v>
      </c>
      <c r="N98" s="6" t="s">
        <v>25</v>
      </c>
      <c r="O98" s="5">
        <v>15</v>
      </c>
      <c r="P98" t="e">
        <v>#DIV/0!</v>
      </c>
      <c r="Q98" t="b">
        <v>0</v>
      </c>
      <c r="R98" s="5" t="str">
        <v>Even</v>
      </c>
      <c r="S98">
        <f t="shared" si="3"/>
        <v>231</v>
      </c>
      <c r="T98" t="str">
        <v/>
      </c>
      <c r="U98" t="str">
        <v>Bad</v>
      </c>
      <c r="V98" t="b">
        <v>0</v>
      </c>
      <c r="W98" t="str" cm="1">
        <f t="array" ref="W98">IF(AND(D98:D446&gt;40, K98:K446&lt;300, H98:H446&lt;8000), "Not Eligible", "Eligible")</f>
        <v>Eligible</v>
      </c>
      <c r="X98" t="str">
        <f t="shared" si="4"/>
        <v>Good</v>
      </c>
      <c r="Y98" t="str">
        <f t="shared" si="5"/>
        <v/>
      </c>
      <c r="Z98" t="b">
        <v>1</v>
      </c>
    </row>
    <row r="99" spans="1:26" x14ac:dyDescent="0.3">
      <c r="A99" s="5">
        <f t="shared" si="6"/>
        <v>98</v>
      </c>
      <c r="B99" s="7" t="s">
        <v>32</v>
      </c>
      <c r="C99" s="7" t="s">
        <v>138</v>
      </c>
      <c r="D99" s="6">
        <v>38</v>
      </c>
      <c r="E99" s="6" t="s">
        <v>14</v>
      </c>
      <c r="F99" s="6" t="s">
        <v>22</v>
      </c>
      <c r="G99" s="6">
        <v>15000</v>
      </c>
      <c r="H99" s="6">
        <v>77000</v>
      </c>
      <c r="I99" s="6" t="s">
        <v>23</v>
      </c>
      <c r="J99" s="6">
        <v>15000</v>
      </c>
      <c r="K99" s="6">
        <v>720</v>
      </c>
      <c r="L99" s="6" t="s">
        <v>24</v>
      </c>
      <c r="M99" s="6" t="s">
        <v>82</v>
      </c>
      <c r="N99" s="6" t="s">
        <v>18</v>
      </c>
      <c r="O99" s="5">
        <v>4</v>
      </c>
      <c r="P99">
        <v>5.1333333333333337</v>
      </c>
      <c r="Q99" t="b">
        <v>1</v>
      </c>
      <c r="R99" s="5" t="str">
        <v>Even</v>
      </c>
      <c r="S99">
        <f t="shared" si="3"/>
        <v>17</v>
      </c>
      <c r="T99" t="str">
        <v>Good</v>
      </c>
      <c r="U99" t="str">
        <v/>
      </c>
      <c r="V99" t="b">
        <v>0</v>
      </c>
      <c r="W99" t="str" cm="1">
        <f t="array" ref="W99">IF(AND(D99:D447&gt;40, K99:K447&lt;300, H99:H447&lt;8000), "Not Eligible", "Eligible")</f>
        <v>Eligible</v>
      </c>
      <c r="X99" t="str">
        <f t="shared" si="4"/>
        <v>Good</v>
      </c>
      <c r="Y99" t="str">
        <f t="shared" si="5"/>
        <v>In Progress</v>
      </c>
      <c r="Z99" t="b">
        <v>0</v>
      </c>
    </row>
    <row r="100" spans="1:26" x14ac:dyDescent="0.3">
      <c r="A100" s="5">
        <f t="shared" si="6"/>
        <v>99</v>
      </c>
      <c r="B100" s="7" t="s">
        <v>139</v>
      </c>
      <c r="C100" s="7" t="s">
        <v>78</v>
      </c>
      <c r="D100" s="6">
        <v>27</v>
      </c>
      <c r="E100" s="6" t="s">
        <v>21</v>
      </c>
      <c r="F100" s="6" t="s">
        <v>15</v>
      </c>
      <c r="G100" s="6">
        <v>4000</v>
      </c>
      <c r="H100" s="6">
        <v>50000</v>
      </c>
      <c r="I100" s="6" t="s">
        <v>16</v>
      </c>
      <c r="J100" s="6">
        <v>0</v>
      </c>
      <c r="K100" s="6">
        <v>680</v>
      </c>
      <c r="L100" s="6" t="s">
        <v>28</v>
      </c>
      <c r="M100" s="6" t="s">
        <v>80</v>
      </c>
      <c r="N100" s="6" t="s">
        <v>25</v>
      </c>
      <c r="O100" s="5">
        <v>15</v>
      </c>
      <c r="P100" t="e">
        <v>#DIV/0!</v>
      </c>
      <c r="Q100" t="b">
        <v>0</v>
      </c>
      <c r="R100" s="5" t="str">
        <v>Odd</v>
      </c>
      <c r="S100">
        <f t="shared" si="3"/>
        <v>182</v>
      </c>
      <c r="T100" t="str">
        <v/>
      </c>
      <c r="U100" t="str">
        <v>Bad</v>
      </c>
      <c r="V100" t="b">
        <v>0</v>
      </c>
      <c r="W100" t="str" cm="1">
        <f t="array" ref="W100">IF(AND(D100:D448&gt;40, K100:K448&lt;300, H100:H448&lt;8000), "Not Eligible", "Eligible")</f>
        <v>Eligible</v>
      </c>
      <c r="X100" t="str">
        <f t="shared" si="4"/>
        <v>Bad</v>
      </c>
      <c r="Y100" t="str">
        <f t="shared" si="5"/>
        <v/>
      </c>
      <c r="Z100" t="b">
        <v>1</v>
      </c>
    </row>
    <row r="101" spans="1:26" x14ac:dyDescent="0.3">
      <c r="A101" s="5">
        <f t="shared" si="6"/>
        <v>100</v>
      </c>
      <c r="B101" s="7" t="s">
        <v>140</v>
      </c>
      <c r="C101" s="7" t="s">
        <v>45</v>
      </c>
      <c r="D101" s="6">
        <v>41</v>
      </c>
      <c r="E101" s="6" t="s">
        <v>14</v>
      </c>
      <c r="F101" s="6" t="s">
        <v>22</v>
      </c>
      <c r="G101" s="6">
        <v>9000</v>
      </c>
      <c r="H101" s="6">
        <v>69000</v>
      </c>
      <c r="I101" s="6" t="s">
        <v>23</v>
      </c>
      <c r="J101" s="6">
        <v>12000</v>
      </c>
      <c r="K101" s="6">
        <v>700</v>
      </c>
      <c r="L101" s="6" t="s">
        <v>31</v>
      </c>
      <c r="M101" s="6" t="s">
        <v>82</v>
      </c>
      <c r="N101" s="6" t="s">
        <v>18</v>
      </c>
      <c r="O101" s="5" t="s">
        <v>319</v>
      </c>
      <c r="P101">
        <v>5.75</v>
      </c>
      <c r="Q101" t="b">
        <v>1</v>
      </c>
      <c r="R101" s="5" t="str">
        <v>Odd</v>
      </c>
      <c r="S101">
        <f t="shared" si="3"/>
        <v>105</v>
      </c>
      <c r="T101" t="str">
        <v>Good</v>
      </c>
      <c r="U101" t="str">
        <v/>
      </c>
      <c r="V101" t="b">
        <v>1</v>
      </c>
      <c r="W101" t="str" cm="1">
        <f t="array" ref="W101">IF(AND(D101:D449&gt;40, K101:K449&lt;300, H101:H449&lt;8000), "Not Eligible", "Eligible")</f>
        <v>Eligible</v>
      </c>
      <c r="X101" t="str">
        <f t="shared" si="4"/>
        <v>Good</v>
      </c>
      <c r="Y101" t="str">
        <f t="shared" si="5"/>
        <v>In Progress</v>
      </c>
      <c r="Z101" t="b">
        <v>0</v>
      </c>
    </row>
    <row r="102" spans="1:26" x14ac:dyDescent="0.3">
      <c r="A102" s="5">
        <f t="shared" si="6"/>
        <v>101</v>
      </c>
      <c r="B102" s="7" t="s">
        <v>141</v>
      </c>
      <c r="C102" s="7" t="s">
        <v>37</v>
      </c>
      <c r="D102" s="6">
        <v>32</v>
      </c>
      <c r="E102" s="6" t="s">
        <v>21</v>
      </c>
      <c r="F102" s="6" t="s">
        <v>15</v>
      </c>
      <c r="G102" s="6">
        <v>5500</v>
      </c>
      <c r="H102" s="6">
        <v>54000</v>
      </c>
      <c r="I102" s="6" t="s">
        <v>16</v>
      </c>
      <c r="J102" s="6">
        <v>0</v>
      </c>
      <c r="K102" s="6">
        <v>710</v>
      </c>
      <c r="L102" s="6" t="s">
        <v>17</v>
      </c>
      <c r="M102" s="6" t="s">
        <v>80</v>
      </c>
      <c r="N102" s="6" t="s">
        <v>25</v>
      </c>
      <c r="O102" s="5">
        <v>14</v>
      </c>
      <c r="P102" t="e">
        <v>#DIV/0!</v>
      </c>
      <c r="Q102" t="b">
        <v>0</v>
      </c>
      <c r="R102" s="5" t="str">
        <v>Even</v>
      </c>
      <c r="S102">
        <f t="shared" si="3"/>
        <v>67</v>
      </c>
      <c r="T102" t="str">
        <v/>
      </c>
      <c r="U102" t="str">
        <v>Bad</v>
      </c>
      <c r="V102" t="b">
        <v>0</v>
      </c>
      <c r="W102" t="str" cm="1">
        <f t="array" ref="W102">IF(AND(D102:D450&gt;40, K102:K450&lt;300, H102:H450&lt;8000), "Not Eligible", "Eligible")</f>
        <v>Eligible</v>
      </c>
      <c r="X102" t="str">
        <f t="shared" si="4"/>
        <v>Bad</v>
      </c>
      <c r="Y102" t="str">
        <f t="shared" si="5"/>
        <v/>
      </c>
      <c r="Z102" t="b">
        <v>1</v>
      </c>
    </row>
    <row r="103" spans="1:26" x14ac:dyDescent="0.3">
      <c r="A103" s="5">
        <f t="shared" si="6"/>
        <v>102</v>
      </c>
      <c r="B103" s="7" t="s">
        <v>142</v>
      </c>
      <c r="C103" s="7" t="s">
        <v>47</v>
      </c>
      <c r="D103" s="6">
        <v>47</v>
      </c>
      <c r="E103" s="6" t="s">
        <v>14</v>
      </c>
      <c r="F103" s="6" t="s">
        <v>22</v>
      </c>
      <c r="G103" s="6">
        <v>7000</v>
      </c>
      <c r="H103" s="6">
        <v>74000</v>
      </c>
      <c r="I103" s="6" t="s">
        <v>23</v>
      </c>
      <c r="J103" s="6">
        <v>10000</v>
      </c>
      <c r="K103" s="6">
        <v>690</v>
      </c>
      <c r="L103" s="6" t="s">
        <v>24</v>
      </c>
      <c r="M103" s="6" t="s">
        <v>81</v>
      </c>
      <c r="N103" s="6" t="s">
        <v>18</v>
      </c>
      <c r="O103" s="5">
        <v>8</v>
      </c>
      <c r="P103">
        <v>7.4</v>
      </c>
      <c r="Q103" t="b">
        <v>1</v>
      </c>
      <c r="R103" s="5" t="str">
        <v>Odd</v>
      </c>
      <c r="S103">
        <f t="shared" si="3"/>
        <v>137</v>
      </c>
      <c r="T103" t="str">
        <v>Good</v>
      </c>
      <c r="U103" t="str">
        <v/>
      </c>
      <c r="V103" t="b">
        <v>0</v>
      </c>
      <c r="W103" t="str" cm="1">
        <f t="array" ref="W103">IF(AND(D103:D451&gt;40, K103:K451&lt;300, H103:H451&lt;8000), "Not Eligible", "Eligible")</f>
        <v>Eligible</v>
      </c>
      <c r="X103" t="str">
        <f t="shared" si="4"/>
        <v>Good</v>
      </c>
      <c r="Y103" t="str">
        <f t="shared" si="5"/>
        <v>In Progress</v>
      </c>
      <c r="Z103" t="b">
        <v>0</v>
      </c>
    </row>
    <row r="104" spans="1:26" x14ac:dyDescent="0.3">
      <c r="A104" s="5">
        <f t="shared" si="6"/>
        <v>103</v>
      </c>
      <c r="B104" s="7" t="s">
        <v>54</v>
      </c>
      <c r="C104" s="7" t="s">
        <v>49</v>
      </c>
      <c r="D104" s="6">
        <v>35</v>
      </c>
      <c r="E104" s="6" t="s">
        <v>21</v>
      </c>
      <c r="F104" s="6" t="s">
        <v>15</v>
      </c>
      <c r="G104" s="6">
        <v>6000</v>
      </c>
      <c r="H104" s="6">
        <v>68000</v>
      </c>
      <c r="I104" s="6" t="s">
        <v>16</v>
      </c>
      <c r="J104" s="6">
        <v>0</v>
      </c>
      <c r="K104" s="6">
        <v>720</v>
      </c>
      <c r="L104" s="6" t="s">
        <v>28</v>
      </c>
      <c r="M104" s="6" t="s">
        <v>81</v>
      </c>
      <c r="N104" s="6" t="s">
        <v>25</v>
      </c>
      <c r="O104" s="5">
        <v>15</v>
      </c>
      <c r="P104" t="e">
        <v>#DIV/0!</v>
      </c>
      <c r="Q104" t="b">
        <v>0</v>
      </c>
      <c r="R104" s="5" t="str">
        <v>Odd</v>
      </c>
      <c r="S104">
        <f t="shared" si="3"/>
        <v>17</v>
      </c>
      <c r="T104" t="str">
        <v/>
      </c>
      <c r="U104" t="str">
        <v>Bad</v>
      </c>
      <c r="V104" t="b">
        <v>0</v>
      </c>
      <c r="W104" t="str" cm="1">
        <f t="array" ref="W104">IF(AND(D104:D452&gt;40, K104:K452&lt;300, H104:H452&lt;8000), "Not Eligible", "Eligible")</f>
        <v>Eligible</v>
      </c>
      <c r="X104" t="str">
        <f t="shared" si="4"/>
        <v>Bad</v>
      </c>
      <c r="Y104" t="str">
        <f t="shared" si="5"/>
        <v/>
      </c>
      <c r="Z104" t="b">
        <v>1</v>
      </c>
    </row>
    <row r="105" spans="1:26" x14ac:dyDescent="0.3">
      <c r="A105" s="5">
        <f t="shared" si="6"/>
        <v>104</v>
      </c>
      <c r="B105" s="7" t="s">
        <v>143</v>
      </c>
      <c r="C105" s="7" t="s">
        <v>51</v>
      </c>
      <c r="D105" s="6">
        <v>29</v>
      </c>
      <c r="E105" s="6" t="s">
        <v>14</v>
      </c>
      <c r="F105" s="6" t="s">
        <v>22</v>
      </c>
      <c r="G105" s="6">
        <v>2500</v>
      </c>
      <c r="H105" s="6">
        <v>45000</v>
      </c>
      <c r="I105" s="6" t="s">
        <v>23</v>
      </c>
      <c r="J105" s="6">
        <v>5000</v>
      </c>
      <c r="K105" s="6">
        <v>670</v>
      </c>
      <c r="L105" s="6" t="s">
        <v>31</v>
      </c>
      <c r="M105" s="6" t="s">
        <v>81</v>
      </c>
      <c r="N105" s="6" t="s">
        <v>18</v>
      </c>
      <c r="O105" s="5">
        <v>9</v>
      </c>
      <c r="P105">
        <v>9</v>
      </c>
      <c r="Q105" t="b">
        <v>1</v>
      </c>
      <c r="R105" s="5" t="str">
        <v>Odd</v>
      </c>
      <c r="S105">
        <f t="shared" si="3"/>
        <v>225</v>
      </c>
      <c r="T105" t="str">
        <v>Good</v>
      </c>
      <c r="U105" t="str">
        <v/>
      </c>
      <c r="V105" t="b">
        <v>0</v>
      </c>
      <c r="W105" t="str" cm="1">
        <f t="array" ref="W105">IF(AND(D105:D453&gt;40, K105:K453&lt;300, H105:H453&lt;8000), "Not Eligible", "Eligible")</f>
        <v>Eligible</v>
      </c>
      <c r="X105" t="str">
        <f t="shared" si="4"/>
        <v>Good</v>
      </c>
      <c r="Y105" t="str">
        <f t="shared" si="5"/>
        <v>In Progress</v>
      </c>
      <c r="Z105" t="b">
        <v>0</v>
      </c>
    </row>
    <row r="106" spans="1:26" x14ac:dyDescent="0.3">
      <c r="A106" s="5">
        <f t="shared" si="6"/>
        <v>105</v>
      </c>
      <c r="B106" s="7" t="s">
        <v>144</v>
      </c>
      <c r="C106" s="7" t="s">
        <v>145</v>
      </c>
      <c r="D106" s="6">
        <v>42</v>
      </c>
      <c r="E106" s="6" t="s">
        <v>21</v>
      </c>
      <c r="F106" s="6" t="s">
        <v>15</v>
      </c>
      <c r="G106" s="6">
        <v>11000</v>
      </c>
      <c r="H106" s="6">
        <v>80000</v>
      </c>
      <c r="I106" s="6" t="s">
        <v>16</v>
      </c>
      <c r="J106" s="6">
        <v>0</v>
      </c>
      <c r="K106" s="6">
        <v>740</v>
      </c>
      <c r="L106" s="6" t="s">
        <v>17</v>
      </c>
      <c r="M106" s="6" t="s">
        <v>82</v>
      </c>
      <c r="N106" s="6" t="s">
        <v>25</v>
      </c>
      <c r="O106" s="5">
        <v>4</v>
      </c>
      <c r="P106" t="e">
        <v>#DIV/0!</v>
      </c>
      <c r="Q106" t="b">
        <v>0</v>
      </c>
      <c r="R106" s="5" t="str">
        <v>Even</v>
      </c>
      <c r="S106">
        <f t="shared" si="3"/>
        <v>4</v>
      </c>
      <c r="T106" t="str">
        <v/>
      </c>
      <c r="U106" t="str">
        <v>Bad</v>
      </c>
      <c r="V106" t="b">
        <v>0</v>
      </c>
      <c r="W106" t="str" cm="1">
        <f t="array" ref="W106">IF(AND(D106:D454&gt;40, K106:K454&lt;300, H106:H454&lt;8000), "Not Eligible", "Eligible")</f>
        <v>Eligible</v>
      </c>
      <c r="X106" t="str">
        <f t="shared" si="4"/>
        <v>Bad</v>
      </c>
      <c r="Y106" t="str">
        <f t="shared" si="5"/>
        <v/>
      </c>
      <c r="Z106" t="b">
        <v>1</v>
      </c>
    </row>
    <row r="107" spans="1:26" x14ac:dyDescent="0.3">
      <c r="A107" s="5">
        <f t="shared" si="6"/>
        <v>106</v>
      </c>
      <c r="B107" s="7" t="s">
        <v>146</v>
      </c>
      <c r="C107" s="7" t="s">
        <v>53</v>
      </c>
      <c r="D107" s="6">
        <v>50</v>
      </c>
      <c r="E107" s="6" t="s">
        <v>14</v>
      </c>
      <c r="F107" s="6" t="s">
        <v>22</v>
      </c>
      <c r="G107" s="6">
        <v>3000</v>
      </c>
      <c r="H107" s="6">
        <v>47000</v>
      </c>
      <c r="I107" s="6" t="s">
        <v>23</v>
      </c>
      <c r="J107" s="6">
        <v>8000</v>
      </c>
      <c r="K107" s="6">
        <v>680</v>
      </c>
      <c r="L107" s="6" t="s">
        <v>24</v>
      </c>
      <c r="M107" s="6" t="s">
        <v>82</v>
      </c>
      <c r="N107" s="6" t="s">
        <v>18</v>
      </c>
      <c r="O107" s="5">
        <v>13</v>
      </c>
      <c r="P107">
        <v>5.875</v>
      </c>
      <c r="Q107" t="b">
        <v>1</v>
      </c>
      <c r="R107" s="5" t="str">
        <v>Even</v>
      </c>
      <c r="S107">
        <f t="shared" si="3"/>
        <v>177</v>
      </c>
      <c r="T107" t="str">
        <v>Good</v>
      </c>
      <c r="U107" t="str">
        <v/>
      </c>
      <c r="V107" t="b">
        <v>0</v>
      </c>
      <c r="W107" t="str" cm="1">
        <f t="array" ref="W107">IF(AND(D107:D455&gt;40, K107:K455&lt;300, H107:H455&lt;8000), "Not Eligible", "Eligible")</f>
        <v>Eligible</v>
      </c>
      <c r="X107" t="str">
        <f t="shared" si="4"/>
        <v>Good</v>
      </c>
      <c r="Y107" t="str">
        <f t="shared" si="5"/>
        <v>In Progress</v>
      </c>
      <c r="Z107" t="b">
        <v>0</v>
      </c>
    </row>
    <row r="108" spans="1:26" x14ac:dyDescent="0.3">
      <c r="A108" s="5">
        <f t="shared" si="6"/>
        <v>107</v>
      </c>
      <c r="B108" s="7" t="s">
        <v>147</v>
      </c>
      <c r="C108" s="7" t="s">
        <v>148</v>
      </c>
      <c r="D108" s="6">
        <v>28</v>
      </c>
      <c r="E108" s="6" t="s">
        <v>21</v>
      </c>
      <c r="F108" s="6" t="s">
        <v>15</v>
      </c>
      <c r="G108" s="6">
        <v>4000</v>
      </c>
      <c r="H108" s="6">
        <v>53000</v>
      </c>
      <c r="I108" s="6" t="s">
        <v>16</v>
      </c>
      <c r="J108" s="6">
        <v>0</v>
      </c>
      <c r="K108" s="6">
        <v>690</v>
      </c>
      <c r="L108" s="6" t="s">
        <v>28</v>
      </c>
      <c r="M108" s="6" t="s">
        <v>80</v>
      </c>
      <c r="N108" s="6" t="s">
        <v>25</v>
      </c>
      <c r="O108" s="5">
        <v>5</v>
      </c>
      <c r="P108" t="e">
        <v>#DIV/0!</v>
      </c>
      <c r="Q108" t="b">
        <v>0</v>
      </c>
      <c r="R108" s="5" t="str">
        <v>Even</v>
      </c>
      <c r="S108">
        <f t="shared" si="3"/>
        <v>135</v>
      </c>
      <c r="T108" t="str">
        <v/>
      </c>
      <c r="U108" t="str">
        <v>Bad</v>
      </c>
      <c r="V108" t="b">
        <v>0</v>
      </c>
      <c r="W108" t="str" cm="1">
        <f t="array" ref="W108">IF(AND(D108:D456&gt;40, K108:K456&lt;300, H108:H456&lt;8000), "Not Eligible", "Eligible")</f>
        <v>Eligible</v>
      </c>
      <c r="X108" t="str">
        <f t="shared" si="4"/>
        <v>Bad</v>
      </c>
      <c r="Y108" t="str">
        <f t="shared" si="5"/>
        <v/>
      </c>
      <c r="Z108" t="b">
        <v>1</v>
      </c>
    </row>
    <row r="109" spans="1:26" x14ac:dyDescent="0.3">
      <c r="A109" s="5">
        <f t="shared" si="6"/>
        <v>108</v>
      </c>
      <c r="B109" s="7" t="s">
        <v>149</v>
      </c>
      <c r="C109" s="7" t="s">
        <v>55</v>
      </c>
      <c r="D109" s="6">
        <v>36</v>
      </c>
      <c r="E109" s="6" t="s">
        <v>14</v>
      </c>
      <c r="F109" s="6" t="s">
        <v>22</v>
      </c>
      <c r="G109" s="6">
        <v>9000</v>
      </c>
      <c r="H109" s="6">
        <v>71000</v>
      </c>
      <c r="I109" s="6" t="s">
        <v>23</v>
      </c>
      <c r="J109" s="6">
        <v>13000</v>
      </c>
      <c r="K109" s="6">
        <v>700</v>
      </c>
      <c r="L109" s="6" t="s">
        <v>31</v>
      </c>
      <c r="M109" s="6" t="s">
        <v>81</v>
      </c>
      <c r="N109" s="6" t="s">
        <v>18</v>
      </c>
      <c r="O109" s="5">
        <v>11</v>
      </c>
      <c r="P109">
        <v>5.4615384615384617</v>
      </c>
      <c r="Q109" t="b">
        <v>1</v>
      </c>
      <c r="R109" s="5" t="str">
        <v>Even</v>
      </c>
      <c r="S109">
        <f t="shared" si="3"/>
        <v>102</v>
      </c>
      <c r="T109" t="str">
        <v>Good</v>
      </c>
      <c r="U109" t="str">
        <v/>
      </c>
      <c r="V109" t="b">
        <v>0</v>
      </c>
      <c r="W109" t="str" cm="1">
        <f t="array" ref="W109">IF(AND(D109:D457&gt;40, K109:K457&lt;300, H109:H457&lt;8000), "Not Eligible", "Eligible")</f>
        <v>Eligible</v>
      </c>
      <c r="X109" t="str">
        <f t="shared" si="4"/>
        <v>Good</v>
      </c>
      <c r="Y109" t="str">
        <f t="shared" si="5"/>
        <v>In Progress</v>
      </c>
      <c r="Z109" t="b">
        <v>0</v>
      </c>
    </row>
    <row r="110" spans="1:26" x14ac:dyDescent="0.3">
      <c r="A110" s="5">
        <f t="shared" si="6"/>
        <v>109</v>
      </c>
      <c r="B110" s="7" t="s">
        <v>150</v>
      </c>
      <c r="C110" s="7" t="s">
        <v>59</v>
      </c>
      <c r="D110" s="6">
        <v>41</v>
      </c>
      <c r="E110" s="6" t="s">
        <v>21</v>
      </c>
      <c r="F110" s="6" t="s">
        <v>15</v>
      </c>
      <c r="G110" s="6">
        <v>8000</v>
      </c>
      <c r="H110" s="6">
        <v>67000</v>
      </c>
      <c r="I110" s="6" t="s">
        <v>16</v>
      </c>
      <c r="J110" s="6">
        <v>0</v>
      </c>
      <c r="K110" s="6">
        <v>710</v>
      </c>
      <c r="L110" s="6" t="s">
        <v>17</v>
      </c>
      <c r="M110" s="6" t="s">
        <v>82</v>
      </c>
      <c r="N110" s="6" t="s">
        <v>25</v>
      </c>
      <c r="O110" s="5">
        <v>4</v>
      </c>
      <c r="P110" t="e">
        <v>#DIV/0!</v>
      </c>
      <c r="Q110" t="b">
        <v>0</v>
      </c>
      <c r="R110" s="5" t="str">
        <v>Odd</v>
      </c>
      <c r="S110">
        <f t="shared" si="3"/>
        <v>65</v>
      </c>
      <c r="T110" t="str">
        <v/>
      </c>
      <c r="U110" t="str">
        <v>Bad</v>
      </c>
      <c r="V110" t="b">
        <v>0</v>
      </c>
      <c r="W110" t="str" cm="1">
        <f t="array" ref="W110">IF(AND(D110:D458&gt;40, K110:K458&lt;300, H110:H458&lt;8000), "Not Eligible", "Eligible")</f>
        <v>Eligible</v>
      </c>
      <c r="X110" t="str">
        <f t="shared" si="4"/>
        <v>Bad</v>
      </c>
      <c r="Y110" t="str">
        <f t="shared" si="5"/>
        <v/>
      </c>
      <c r="Z110" t="b">
        <v>1</v>
      </c>
    </row>
    <row r="111" spans="1:26" x14ac:dyDescent="0.3">
      <c r="A111" s="5">
        <f t="shared" si="6"/>
        <v>110</v>
      </c>
      <c r="B111" s="7" t="s">
        <v>151</v>
      </c>
      <c r="C111" s="7" t="s">
        <v>57</v>
      </c>
      <c r="D111" s="6">
        <v>30</v>
      </c>
      <c r="E111" s="6" t="s">
        <v>14</v>
      </c>
      <c r="F111" s="6" t="s">
        <v>22</v>
      </c>
      <c r="G111" s="6">
        <v>5000</v>
      </c>
      <c r="H111" s="6">
        <v>55000</v>
      </c>
      <c r="I111" s="6" t="s">
        <v>23</v>
      </c>
      <c r="J111" s="6">
        <v>7000</v>
      </c>
      <c r="K111" s="6">
        <v>690</v>
      </c>
      <c r="L111" s="6" t="s">
        <v>24</v>
      </c>
      <c r="M111" s="6" t="s">
        <v>82</v>
      </c>
      <c r="N111" s="6" t="s">
        <v>18</v>
      </c>
      <c r="O111" s="5">
        <v>14</v>
      </c>
      <c r="P111">
        <v>7.8571428571428568</v>
      </c>
      <c r="Q111" t="b">
        <v>1</v>
      </c>
      <c r="R111" s="5" t="str">
        <v>Even</v>
      </c>
      <c r="S111">
        <f t="shared" si="3"/>
        <v>133</v>
      </c>
      <c r="T111" t="str">
        <v>Good</v>
      </c>
      <c r="U111" t="str">
        <v/>
      </c>
      <c r="V111" t="b">
        <v>0</v>
      </c>
      <c r="W111" t="str" cm="1">
        <f t="array" ref="W111">IF(AND(D111:D459&gt;40, K111:K459&lt;300, H111:H459&lt;8000), "Not Eligible", "Eligible")</f>
        <v>Eligible</v>
      </c>
      <c r="X111" t="str">
        <f t="shared" si="4"/>
        <v>Good</v>
      </c>
      <c r="Y111" t="str">
        <f t="shared" si="5"/>
        <v>In Progress</v>
      </c>
      <c r="Z111" t="b">
        <v>0</v>
      </c>
    </row>
    <row r="112" spans="1:26" x14ac:dyDescent="0.3">
      <c r="A112" s="5">
        <f t="shared" si="6"/>
        <v>111</v>
      </c>
      <c r="B112" s="7" t="s">
        <v>152</v>
      </c>
      <c r="C112" s="7" t="s">
        <v>61</v>
      </c>
      <c r="D112" s="6">
        <v>29</v>
      </c>
      <c r="E112" s="6" t="s">
        <v>21</v>
      </c>
      <c r="F112" s="6" t="s">
        <v>15</v>
      </c>
      <c r="G112" s="6">
        <v>3000</v>
      </c>
      <c r="H112" s="6">
        <v>48000</v>
      </c>
      <c r="I112" s="6" t="s">
        <v>16</v>
      </c>
      <c r="J112" s="6">
        <v>0</v>
      </c>
      <c r="K112" s="6">
        <v>670</v>
      </c>
      <c r="L112" s="6" t="s">
        <v>28</v>
      </c>
      <c r="M112" s="6" t="s">
        <v>80</v>
      </c>
      <c r="N112" s="6" t="s">
        <v>25</v>
      </c>
      <c r="O112" s="5">
        <v>7</v>
      </c>
      <c r="P112" t="e">
        <v>#DIV/0!</v>
      </c>
      <c r="Q112" t="b">
        <v>0</v>
      </c>
      <c r="R112" s="5" t="str">
        <v>Odd</v>
      </c>
      <c r="S112">
        <f t="shared" si="3"/>
        <v>219</v>
      </c>
      <c r="T112" t="str">
        <v/>
      </c>
      <c r="U112" t="str">
        <v>Bad</v>
      </c>
      <c r="V112" t="b">
        <v>0</v>
      </c>
      <c r="W112" t="str" cm="1">
        <f t="array" ref="W112">IF(AND(D112:D460&gt;40, K112:K460&lt;300, H112:H460&lt;8000), "Not Eligible", "Eligible")</f>
        <v>Eligible</v>
      </c>
      <c r="X112" t="str">
        <f t="shared" si="4"/>
        <v>Bad</v>
      </c>
      <c r="Y112" t="str">
        <f t="shared" si="5"/>
        <v/>
      </c>
      <c r="Z112" t="b">
        <v>1</v>
      </c>
    </row>
    <row r="113" spans="1:26" x14ac:dyDescent="0.3">
      <c r="A113" s="5">
        <f t="shared" si="6"/>
        <v>112</v>
      </c>
      <c r="B113" s="7" t="s">
        <v>153</v>
      </c>
      <c r="C113" s="7" t="s">
        <v>154</v>
      </c>
      <c r="D113" s="6">
        <v>34</v>
      </c>
      <c r="E113" s="6" t="s">
        <v>14</v>
      </c>
      <c r="F113" s="6" t="s">
        <v>22</v>
      </c>
      <c r="G113" s="6">
        <v>11000</v>
      </c>
      <c r="H113" s="6">
        <v>62000</v>
      </c>
      <c r="I113" s="6" t="s">
        <v>23</v>
      </c>
      <c r="J113" s="6">
        <v>12000</v>
      </c>
      <c r="K113" s="6">
        <v>720</v>
      </c>
      <c r="L113" s="6" t="s">
        <v>31</v>
      </c>
      <c r="M113" s="6" t="s">
        <v>80</v>
      </c>
      <c r="N113" s="6" t="s">
        <v>18</v>
      </c>
      <c r="O113" s="5">
        <v>6</v>
      </c>
      <c r="P113">
        <v>5.166666666666667</v>
      </c>
      <c r="Q113" t="b">
        <v>1</v>
      </c>
      <c r="R113" s="5" t="str">
        <v>Even</v>
      </c>
      <c r="S113">
        <f t="shared" si="3"/>
        <v>16</v>
      </c>
      <c r="T113" t="str">
        <v>Good</v>
      </c>
      <c r="U113" t="str">
        <v/>
      </c>
      <c r="V113" t="b">
        <v>0</v>
      </c>
      <c r="W113" t="str" cm="1">
        <f t="array" ref="W113">IF(AND(D113:D461&gt;40, K113:K461&lt;300, H113:H461&lt;8000), "Not Eligible", "Eligible")</f>
        <v>Eligible</v>
      </c>
      <c r="X113" t="str">
        <f t="shared" si="4"/>
        <v>Good</v>
      </c>
      <c r="Y113" t="str">
        <f t="shared" si="5"/>
        <v>In Progress</v>
      </c>
      <c r="Z113" t="b">
        <v>0</v>
      </c>
    </row>
    <row r="114" spans="1:26" x14ac:dyDescent="0.3">
      <c r="A114" s="5">
        <f t="shared" si="6"/>
        <v>113</v>
      </c>
      <c r="B114" s="7" t="s">
        <v>155</v>
      </c>
      <c r="C114" s="7" t="s">
        <v>63</v>
      </c>
      <c r="D114" s="6">
        <v>37</v>
      </c>
      <c r="E114" s="6" t="s">
        <v>21</v>
      </c>
      <c r="F114" s="6" t="s">
        <v>15</v>
      </c>
      <c r="G114" s="6">
        <v>5500</v>
      </c>
      <c r="H114" s="6">
        <v>69000</v>
      </c>
      <c r="I114" s="6" t="s">
        <v>16</v>
      </c>
      <c r="J114" s="6">
        <v>0</v>
      </c>
      <c r="K114" s="6">
        <v>710</v>
      </c>
      <c r="L114" s="6" t="s">
        <v>17</v>
      </c>
      <c r="M114" s="6" t="s">
        <v>80</v>
      </c>
      <c r="N114" s="6" t="s">
        <v>25</v>
      </c>
      <c r="O114" s="5">
        <v>4</v>
      </c>
      <c r="P114" t="e">
        <v>#DIV/0!</v>
      </c>
      <c r="Q114" t="b">
        <v>0</v>
      </c>
      <c r="R114" s="5" t="str">
        <v>Odd</v>
      </c>
      <c r="S114">
        <f t="shared" si="3"/>
        <v>64</v>
      </c>
      <c r="T114" t="str">
        <v/>
      </c>
      <c r="U114" t="str">
        <v>Bad</v>
      </c>
      <c r="V114" t="b">
        <v>0</v>
      </c>
      <c r="W114" t="str" cm="1">
        <f t="array" ref="W114">IF(AND(D114:D462&gt;40, K114:K462&lt;300, H114:H462&lt;8000), "Not Eligible", "Eligible")</f>
        <v>Eligible</v>
      </c>
      <c r="X114" t="str">
        <f t="shared" si="4"/>
        <v>Bad</v>
      </c>
      <c r="Y114" t="str">
        <f t="shared" si="5"/>
        <v/>
      </c>
      <c r="Z114" t="b">
        <v>1</v>
      </c>
    </row>
    <row r="115" spans="1:26" x14ac:dyDescent="0.3">
      <c r="A115" s="5">
        <f t="shared" si="6"/>
        <v>114</v>
      </c>
      <c r="B115" s="7" t="s">
        <v>156</v>
      </c>
      <c r="C115" s="7" t="s">
        <v>65</v>
      </c>
      <c r="D115" s="6">
        <v>45</v>
      </c>
      <c r="E115" s="6" t="s">
        <v>14</v>
      </c>
      <c r="F115" s="6" t="s">
        <v>15</v>
      </c>
      <c r="G115" s="6">
        <v>7000</v>
      </c>
      <c r="H115" s="6">
        <v>74000</v>
      </c>
      <c r="I115" s="6" t="s">
        <v>23</v>
      </c>
      <c r="J115" s="6">
        <v>15000</v>
      </c>
      <c r="K115" s="6">
        <v>680</v>
      </c>
      <c r="L115" s="6" t="s">
        <v>24</v>
      </c>
      <c r="M115" s="6" t="s">
        <v>80</v>
      </c>
      <c r="N115" s="6" t="s">
        <v>18</v>
      </c>
      <c r="O115" s="5">
        <v>7</v>
      </c>
      <c r="P115">
        <v>4.9333333333333336</v>
      </c>
      <c r="Q115" t="b">
        <v>1</v>
      </c>
      <c r="R115" s="5" t="str">
        <v>Odd</v>
      </c>
      <c r="S115">
        <f t="shared" si="3"/>
        <v>171</v>
      </c>
      <c r="T115" t="str">
        <v>Good</v>
      </c>
      <c r="U115" t="str">
        <v/>
      </c>
      <c r="V115" t="b">
        <v>0</v>
      </c>
      <c r="W115" t="str" cm="1">
        <f t="array" ref="W115">IF(AND(D115:D463&gt;40, K115:K463&lt;300, H115:H463&lt;8000), "Not Eligible", "Eligible")</f>
        <v>Eligible</v>
      </c>
      <c r="X115" t="str">
        <f t="shared" si="4"/>
        <v>Good</v>
      </c>
      <c r="Y115" t="str">
        <f t="shared" si="5"/>
        <v>In Progress</v>
      </c>
      <c r="Z115" t="b">
        <v>0</v>
      </c>
    </row>
    <row r="116" spans="1:26" x14ac:dyDescent="0.3">
      <c r="A116" s="5">
        <f t="shared" si="6"/>
        <v>115</v>
      </c>
      <c r="B116" s="7" t="s">
        <v>157</v>
      </c>
      <c r="C116" s="7" t="s">
        <v>69</v>
      </c>
      <c r="D116" s="6">
        <v>40</v>
      </c>
      <c r="E116" s="6" t="s">
        <v>21</v>
      </c>
      <c r="F116" s="6" t="s">
        <v>15</v>
      </c>
      <c r="G116" s="6">
        <v>2000</v>
      </c>
      <c r="H116" s="6">
        <v>50000</v>
      </c>
      <c r="I116" s="6" t="s">
        <v>16</v>
      </c>
      <c r="J116" s="6">
        <v>0</v>
      </c>
      <c r="K116" s="6">
        <v>720</v>
      </c>
      <c r="L116" s="6" t="s">
        <v>28</v>
      </c>
      <c r="M116" s="6" t="s">
        <v>80</v>
      </c>
      <c r="N116" s="6" t="s">
        <v>25</v>
      </c>
      <c r="O116" s="5">
        <v>13</v>
      </c>
      <c r="P116" t="e">
        <v>#DIV/0!</v>
      </c>
      <c r="Q116" t="b">
        <v>0</v>
      </c>
      <c r="R116" s="5" t="str">
        <v>Even</v>
      </c>
      <c r="S116">
        <f t="shared" si="3"/>
        <v>16</v>
      </c>
      <c r="T116" t="str">
        <v/>
      </c>
      <c r="U116" t="str">
        <v>Bad</v>
      </c>
      <c r="V116" t="b">
        <v>0</v>
      </c>
      <c r="W116" t="str" cm="1">
        <f t="array" ref="W116">IF(AND(D116:D464&gt;40, K116:K464&lt;300, H116:H464&lt;8000), "Not Eligible", "Eligible")</f>
        <v>Eligible</v>
      </c>
      <c r="X116" t="str">
        <f t="shared" si="4"/>
        <v>Bad</v>
      </c>
      <c r="Y116" t="str">
        <f t="shared" si="5"/>
        <v/>
      </c>
      <c r="Z116" t="b">
        <v>1</v>
      </c>
    </row>
    <row r="117" spans="1:26" x14ac:dyDescent="0.3">
      <c r="A117" s="5">
        <f t="shared" si="6"/>
        <v>116</v>
      </c>
      <c r="B117" s="7" t="s">
        <v>158</v>
      </c>
      <c r="C117" s="7" t="s">
        <v>67</v>
      </c>
      <c r="D117" s="6">
        <v>27</v>
      </c>
      <c r="E117" s="6" t="s">
        <v>14</v>
      </c>
      <c r="F117" s="6" t="s">
        <v>22</v>
      </c>
      <c r="G117" s="6">
        <v>6000</v>
      </c>
      <c r="H117" s="6">
        <v>55000</v>
      </c>
      <c r="I117" s="6" t="s">
        <v>23</v>
      </c>
      <c r="J117" s="6">
        <v>10000</v>
      </c>
      <c r="K117" s="6">
        <v>690</v>
      </c>
      <c r="L117" s="6" t="s">
        <v>31</v>
      </c>
      <c r="M117" s="6" t="s">
        <v>80</v>
      </c>
      <c r="N117" s="6" t="s">
        <v>18</v>
      </c>
      <c r="O117" s="5">
        <v>4</v>
      </c>
      <c r="P117">
        <v>5.5</v>
      </c>
      <c r="Q117" t="b">
        <v>1</v>
      </c>
      <c r="R117" s="5" t="str">
        <v>Odd</v>
      </c>
      <c r="S117">
        <f t="shared" si="3"/>
        <v>130</v>
      </c>
      <c r="T117" t="str">
        <v>Good</v>
      </c>
      <c r="U117" t="str">
        <v/>
      </c>
      <c r="V117" t="b">
        <v>0</v>
      </c>
      <c r="W117" t="str" cm="1">
        <f t="array" ref="W117">IF(AND(D117:D465&gt;40, K117:K465&lt;300, H117:H465&lt;8000), "Not Eligible", "Eligible")</f>
        <v>Eligible</v>
      </c>
      <c r="X117" t="str">
        <f t="shared" si="4"/>
        <v>Good</v>
      </c>
      <c r="Y117" t="str">
        <f t="shared" si="5"/>
        <v>In Progress</v>
      </c>
      <c r="Z117" t="b">
        <v>0</v>
      </c>
    </row>
    <row r="118" spans="1:26" x14ac:dyDescent="0.3">
      <c r="A118" s="5">
        <f t="shared" si="6"/>
        <v>117</v>
      </c>
      <c r="B118" s="7" t="s">
        <v>159</v>
      </c>
      <c r="C118" s="7" t="s">
        <v>160</v>
      </c>
      <c r="D118" s="6">
        <v>31</v>
      </c>
      <c r="E118" s="6" t="s">
        <v>21</v>
      </c>
      <c r="F118" s="6" t="s">
        <v>15</v>
      </c>
      <c r="G118" s="6">
        <v>3500</v>
      </c>
      <c r="H118" s="6">
        <v>62000</v>
      </c>
      <c r="I118" s="6" t="s">
        <v>16</v>
      </c>
      <c r="J118" s="6">
        <v>0</v>
      </c>
      <c r="K118" s="6">
        <v>680</v>
      </c>
      <c r="L118" s="6" t="s">
        <v>17</v>
      </c>
      <c r="M118" s="6" t="s">
        <v>82</v>
      </c>
      <c r="N118" s="6" t="s">
        <v>25</v>
      </c>
      <c r="O118" s="5">
        <v>15</v>
      </c>
      <c r="P118" t="e">
        <v>#DIV/0!</v>
      </c>
      <c r="Q118" t="b">
        <v>0</v>
      </c>
      <c r="R118" s="5" t="str">
        <v>Odd</v>
      </c>
      <c r="S118">
        <f t="shared" si="3"/>
        <v>169</v>
      </c>
      <c r="T118" t="str">
        <v/>
      </c>
      <c r="U118" t="str">
        <v>Bad</v>
      </c>
      <c r="V118" t="b">
        <v>0</v>
      </c>
      <c r="W118" t="str" cm="1">
        <f t="array" ref="W118">IF(AND(D118:D466&gt;40, K118:K466&lt;300, H118:H466&lt;8000), "Not Eligible", "Eligible")</f>
        <v>Eligible</v>
      </c>
      <c r="X118" t="str">
        <f t="shared" si="4"/>
        <v>Bad</v>
      </c>
      <c r="Y118" t="str">
        <f t="shared" si="5"/>
        <v/>
      </c>
      <c r="Z118" t="b">
        <v>1</v>
      </c>
    </row>
    <row r="119" spans="1:26" x14ac:dyDescent="0.3">
      <c r="A119" s="5">
        <f t="shared" si="6"/>
        <v>118</v>
      </c>
      <c r="B119" s="7" t="s">
        <v>161</v>
      </c>
      <c r="C119" s="7" t="s">
        <v>71</v>
      </c>
      <c r="D119" s="6">
        <v>53</v>
      </c>
      <c r="E119" s="6" t="s">
        <v>14</v>
      </c>
      <c r="F119" s="6" t="s">
        <v>22</v>
      </c>
      <c r="G119" s="6">
        <v>4000</v>
      </c>
      <c r="H119" s="6">
        <v>48000</v>
      </c>
      <c r="I119" s="6" t="s">
        <v>23</v>
      </c>
      <c r="J119" s="6">
        <v>5000</v>
      </c>
      <c r="K119" s="6">
        <v>710</v>
      </c>
      <c r="L119" s="6" t="s">
        <v>24</v>
      </c>
      <c r="M119" s="6" t="s">
        <v>82</v>
      </c>
      <c r="N119" s="6" t="s">
        <v>18</v>
      </c>
      <c r="O119" s="5">
        <v>4</v>
      </c>
      <c r="P119">
        <v>9.6</v>
      </c>
      <c r="Q119" t="b">
        <v>1</v>
      </c>
      <c r="R119" s="5" t="str">
        <v>Odd</v>
      </c>
      <c r="S119">
        <f t="shared" si="3"/>
        <v>63</v>
      </c>
      <c r="T119" t="str">
        <v>Good</v>
      </c>
      <c r="U119" t="str">
        <v/>
      </c>
      <c r="V119" t="b">
        <v>0</v>
      </c>
      <c r="W119" t="str" cm="1">
        <f t="array" ref="W119">IF(AND(D119:D467&gt;40, K119:K467&lt;300, H119:H467&lt;8000), "Not Eligible", "Eligible")</f>
        <v>Eligible</v>
      </c>
      <c r="X119" t="str">
        <f t="shared" si="4"/>
        <v>Good</v>
      </c>
      <c r="Y119" t="str">
        <f t="shared" si="5"/>
        <v>In Progress</v>
      </c>
      <c r="Z119" t="b">
        <v>0</v>
      </c>
    </row>
    <row r="120" spans="1:26" x14ac:dyDescent="0.3">
      <c r="A120" s="5">
        <f t="shared" si="6"/>
        <v>119</v>
      </c>
      <c r="B120" s="7" t="s">
        <v>162</v>
      </c>
      <c r="C120" s="7" t="s">
        <v>73</v>
      </c>
      <c r="D120" s="6">
        <v>28</v>
      </c>
      <c r="E120" s="6" t="s">
        <v>21</v>
      </c>
      <c r="F120" s="6" t="s">
        <v>15</v>
      </c>
      <c r="G120" s="6">
        <v>5500</v>
      </c>
      <c r="H120" s="6">
        <v>59000</v>
      </c>
      <c r="I120" s="6" t="s">
        <v>16</v>
      </c>
      <c r="J120" s="6">
        <v>0</v>
      </c>
      <c r="K120" s="6">
        <v>700</v>
      </c>
      <c r="L120" s="6" t="s">
        <v>28</v>
      </c>
      <c r="M120" s="6" t="s">
        <v>82</v>
      </c>
      <c r="N120" s="6" t="s">
        <v>25</v>
      </c>
      <c r="O120" s="5">
        <v>15</v>
      </c>
      <c r="P120" t="e">
        <v>#DIV/0!</v>
      </c>
      <c r="Q120" t="b">
        <v>0</v>
      </c>
      <c r="R120" s="5" t="str">
        <v>Even</v>
      </c>
      <c r="S120">
        <f t="shared" si="3"/>
        <v>97</v>
      </c>
      <c r="T120" t="str">
        <v/>
      </c>
      <c r="U120" t="str">
        <v>Bad</v>
      </c>
      <c r="V120" t="b">
        <v>0</v>
      </c>
      <c r="W120" t="str" cm="1">
        <f t="array" ref="W120">IF(AND(D120:D468&gt;40, K120:K468&lt;300, H120:H468&lt;8000), "Not Eligible", "Eligible")</f>
        <v>Eligible</v>
      </c>
      <c r="X120" t="str">
        <f t="shared" si="4"/>
        <v>Bad</v>
      </c>
      <c r="Y120" t="str">
        <f t="shared" si="5"/>
        <v/>
      </c>
      <c r="Z120" t="b">
        <v>1</v>
      </c>
    </row>
    <row r="121" spans="1:26" x14ac:dyDescent="0.3">
      <c r="A121" s="5">
        <f t="shared" si="6"/>
        <v>120</v>
      </c>
      <c r="B121" s="7" t="s">
        <v>26</v>
      </c>
      <c r="C121" s="7" t="s">
        <v>74</v>
      </c>
      <c r="D121" s="6">
        <v>46</v>
      </c>
      <c r="E121" s="6" t="s">
        <v>14</v>
      </c>
      <c r="F121" s="6" t="s">
        <v>22</v>
      </c>
      <c r="G121" s="6">
        <v>9000</v>
      </c>
      <c r="H121" s="6">
        <v>73000</v>
      </c>
      <c r="I121" s="6" t="s">
        <v>23</v>
      </c>
      <c r="J121" s="6">
        <v>13000</v>
      </c>
      <c r="K121" s="6">
        <v>720</v>
      </c>
      <c r="L121" s="6" t="s">
        <v>31</v>
      </c>
      <c r="M121" s="6" t="s">
        <v>82</v>
      </c>
      <c r="N121" s="6" t="s">
        <v>18</v>
      </c>
      <c r="O121" s="5">
        <v>14</v>
      </c>
      <c r="P121">
        <v>5.615384615384615</v>
      </c>
      <c r="Q121" t="b">
        <v>1</v>
      </c>
      <c r="R121" s="5" t="str">
        <v>Even</v>
      </c>
      <c r="S121">
        <f t="shared" si="3"/>
        <v>16</v>
      </c>
      <c r="T121" t="str">
        <v>Good</v>
      </c>
      <c r="U121" t="str">
        <v/>
      </c>
      <c r="V121" t="b">
        <v>0</v>
      </c>
      <c r="W121" t="str" cm="1">
        <f t="array" ref="W121">IF(AND(D121:D469&gt;40, K121:K469&lt;300, H121:H469&lt;8000), "Not Eligible", "Eligible")</f>
        <v>Eligible</v>
      </c>
      <c r="X121" t="str">
        <f t="shared" si="4"/>
        <v>Good</v>
      </c>
      <c r="Y121" t="str">
        <f t="shared" si="5"/>
        <v>In Progress</v>
      </c>
      <c r="Z121" t="b">
        <v>0</v>
      </c>
    </row>
    <row r="122" spans="1:26" x14ac:dyDescent="0.3">
      <c r="A122" s="5">
        <f t="shared" si="6"/>
        <v>121</v>
      </c>
      <c r="B122" s="7" t="s">
        <v>163</v>
      </c>
      <c r="C122" s="7" t="s">
        <v>148</v>
      </c>
      <c r="D122" s="6">
        <v>39</v>
      </c>
      <c r="E122" s="6" t="s">
        <v>21</v>
      </c>
      <c r="F122" s="6" t="s">
        <v>15</v>
      </c>
      <c r="G122" s="6">
        <v>4000</v>
      </c>
      <c r="H122" s="6">
        <v>65000</v>
      </c>
      <c r="I122" s="6" t="s">
        <v>16</v>
      </c>
      <c r="J122" s="6">
        <v>0</v>
      </c>
      <c r="K122" s="6">
        <v>680</v>
      </c>
      <c r="L122" s="6" t="s">
        <v>17</v>
      </c>
      <c r="M122" s="6" t="s">
        <v>82</v>
      </c>
      <c r="N122" s="6" t="s">
        <v>25</v>
      </c>
      <c r="O122" s="5">
        <v>10</v>
      </c>
      <c r="P122" t="e">
        <v>#DIV/0!</v>
      </c>
      <c r="Q122" t="b">
        <v>0</v>
      </c>
      <c r="R122" s="5" t="str">
        <v>Odd</v>
      </c>
      <c r="S122">
        <f t="shared" si="3"/>
        <v>166</v>
      </c>
      <c r="T122" t="str">
        <v/>
      </c>
      <c r="U122" t="str">
        <v>Bad</v>
      </c>
      <c r="V122" t="b">
        <v>0</v>
      </c>
      <c r="W122" t="str" cm="1">
        <f t="array" ref="W122">IF(AND(D122:D470&gt;40, K122:K470&lt;300, H122:H470&lt;8000), "Not Eligible", "Eligible")</f>
        <v>Eligible</v>
      </c>
      <c r="X122" t="str">
        <f t="shared" si="4"/>
        <v>Bad</v>
      </c>
      <c r="Y122" t="str">
        <f t="shared" si="5"/>
        <v/>
      </c>
      <c r="Z122" t="b">
        <v>1</v>
      </c>
    </row>
    <row r="123" spans="1:26" x14ac:dyDescent="0.3">
      <c r="A123" s="5">
        <f t="shared" si="6"/>
        <v>122</v>
      </c>
      <c r="B123" s="7" t="s">
        <v>164</v>
      </c>
      <c r="C123" s="7" t="s">
        <v>76</v>
      </c>
      <c r="D123" s="6">
        <v>27</v>
      </c>
      <c r="E123" s="6" t="s">
        <v>14</v>
      </c>
      <c r="F123" s="6" t="s">
        <v>22</v>
      </c>
      <c r="G123" s="6">
        <v>8000</v>
      </c>
      <c r="H123" s="6">
        <v>60000</v>
      </c>
      <c r="I123" s="6" t="s">
        <v>23</v>
      </c>
      <c r="J123" s="6">
        <v>8000</v>
      </c>
      <c r="K123" s="6">
        <v>710</v>
      </c>
      <c r="L123" s="6" t="s">
        <v>24</v>
      </c>
      <c r="M123" s="6" t="s">
        <v>82</v>
      </c>
      <c r="N123" s="6" t="s">
        <v>18</v>
      </c>
      <c r="O123" s="5">
        <v>14</v>
      </c>
      <c r="P123">
        <v>7.5</v>
      </c>
      <c r="Q123" t="b">
        <v>1</v>
      </c>
      <c r="R123" s="5" t="str">
        <v>Odd</v>
      </c>
      <c r="S123">
        <f t="shared" si="3"/>
        <v>62</v>
      </c>
      <c r="T123" t="str">
        <v>Good</v>
      </c>
      <c r="U123" t="str">
        <v/>
      </c>
      <c r="V123" t="b">
        <v>0</v>
      </c>
      <c r="W123" t="str" cm="1">
        <f t="array" ref="W123">IF(AND(D123:D471&gt;40, K123:K471&lt;300, H123:H471&lt;8000), "Not Eligible", "Eligible")</f>
        <v>Eligible</v>
      </c>
      <c r="X123" t="str">
        <f t="shared" si="4"/>
        <v>Good</v>
      </c>
      <c r="Y123" t="str">
        <f t="shared" si="5"/>
        <v>In Progress</v>
      </c>
      <c r="Z123" t="b">
        <v>0</v>
      </c>
    </row>
    <row r="124" spans="1:26" x14ac:dyDescent="0.3">
      <c r="A124" s="5">
        <f t="shared" si="6"/>
        <v>123</v>
      </c>
      <c r="B124" s="7" t="s">
        <v>165</v>
      </c>
      <c r="C124" s="7" t="s">
        <v>166</v>
      </c>
      <c r="D124" s="6">
        <v>34</v>
      </c>
      <c r="E124" s="6" t="s">
        <v>21</v>
      </c>
      <c r="F124" s="6" t="s">
        <v>15</v>
      </c>
      <c r="G124" s="6">
        <v>2500</v>
      </c>
      <c r="H124" s="6">
        <v>53000</v>
      </c>
      <c r="I124" s="6" t="s">
        <v>16</v>
      </c>
      <c r="J124" s="6">
        <v>0</v>
      </c>
      <c r="K124" s="6">
        <v>690</v>
      </c>
      <c r="L124" s="6" t="s">
        <v>28</v>
      </c>
      <c r="M124" s="6" t="s">
        <v>81</v>
      </c>
      <c r="N124" s="6" t="s">
        <v>25</v>
      </c>
      <c r="O124" s="5">
        <v>15</v>
      </c>
      <c r="P124" t="e">
        <v>#DIV/0!</v>
      </c>
      <c r="Q124" t="b">
        <v>0</v>
      </c>
      <c r="R124" s="5" t="str">
        <v>Even</v>
      </c>
      <c r="S124">
        <f t="shared" si="3"/>
        <v>126</v>
      </c>
      <c r="T124" t="str">
        <v/>
      </c>
      <c r="U124" t="str">
        <v>Bad</v>
      </c>
      <c r="V124" t="b">
        <v>0</v>
      </c>
      <c r="W124" t="str" cm="1">
        <f t="array" ref="W124">IF(AND(D124:D472&gt;40, K124:K472&lt;300, H124:H472&lt;8000), "Not Eligible", "Eligible")</f>
        <v>Eligible</v>
      </c>
      <c r="X124" t="str">
        <f t="shared" si="4"/>
        <v>Bad</v>
      </c>
      <c r="Y124" t="str">
        <f t="shared" si="5"/>
        <v/>
      </c>
      <c r="Z124" t="b">
        <v>1</v>
      </c>
    </row>
    <row r="125" spans="1:26" x14ac:dyDescent="0.3">
      <c r="A125" s="5">
        <f t="shared" si="6"/>
        <v>124</v>
      </c>
      <c r="B125" s="7" t="s">
        <v>167</v>
      </c>
      <c r="C125" s="7" t="s">
        <v>168</v>
      </c>
      <c r="D125" s="6">
        <v>32</v>
      </c>
      <c r="E125" s="6" t="s">
        <v>14</v>
      </c>
      <c r="F125" s="6" t="s">
        <v>22</v>
      </c>
      <c r="G125" s="6">
        <v>12000</v>
      </c>
      <c r="H125" s="6">
        <v>68000</v>
      </c>
      <c r="I125" s="6" t="s">
        <v>23</v>
      </c>
      <c r="J125" s="6">
        <v>15000</v>
      </c>
      <c r="K125" s="6">
        <v>720</v>
      </c>
      <c r="L125" s="6" t="s">
        <v>31</v>
      </c>
      <c r="M125" s="6" t="s">
        <v>81</v>
      </c>
      <c r="N125" s="6" t="s">
        <v>18</v>
      </c>
      <c r="O125" s="5">
        <v>13</v>
      </c>
      <c r="P125">
        <v>4.5333333333333332</v>
      </c>
      <c r="Q125" t="b">
        <v>1</v>
      </c>
      <c r="R125" s="5" t="str">
        <v>Even</v>
      </c>
      <c r="S125">
        <f t="shared" si="3"/>
        <v>16</v>
      </c>
      <c r="T125" t="str">
        <v>Good</v>
      </c>
      <c r="U125" t="str">
        <v/>
      </c>
      <c r="V125" t="b">
        <v>0</v>
      </c>
      <c r="W125" t="str" cm="1">
        <f t="array" ref="W125">IF(AND(D125:D473&gt;40, K125:K473&lt;300, H125:H473&lt;8000), "Not Eligible", "Eligible")</f>
        <v>Eligible</v>
      </c>
      <c r="X125" t="str">
        <f t="shared" si="4"/>
        <v>Good</v>
      </c>
      <c r="Y125" t="str">
        <f t="shared" si="5"/>
        <v>In Progress</v>
      </c>
      <c r="Z125" t="b">
        <v>0</v>
      </c>
    </row>
    <row r="126" spans="1:26" x14ac:dyDescent="0.3">
      <c r="A126" s="5">
        <f t="shared" si="6"/>
        <v>125</v>
      </c>
      <c r="B126" s="7" t="s">
        <v>169</v>
      </c>
      <c r="C126" s="7" t="s">
        <v>170</v>
      </c>
      <c r="D126" s="6">
        <v>49</v>
      </c>
      <c r="E126" s="6" t="s">
        <v>21</v>
      </c>
      <c r="F126" s="6" t="s">
        <v>15</v>
      </c>
      <c r="G126" s="6">
        <v>7000</v>
      </c>
      <c r="H126" s="6">
        <v>71000</v>
      </c>
      <c r="I126" s="6" t="s">
        <v>16</v>
      </c>
      <c r="J126" s="6">
        <v>0</v>
      </c>
      <c r="K126" s="6">
        <v>680</v>
      </c>
      <c r="L126" s="6" t="s">
        <v>17</v>
      </c>
      <c r="M126" s="6" t="s">
        <v>81</v>
      </c>
      <c r="N126" s="6" t="s">
        <v>25</v>
      </c>
      <c r="O126" s="5">
        <v>7</v>
      </c>
      <c r="P126" t="e">
        <v>#DIV/0!</v>
      </c>
      <c r="Q126" t="b">
        <v>0</v>
      </c>
      <c r="R126" s="5" t="str">
        <v>Odd</v>
      </c>
      <c r="S126">
        <f t="shared" si="3"/>
        <v>163</v>
      </c>
      <c r="T126" t="str">
        <v/>
      </c>
      <c r="U126" t="str">
        <v>Bad</v>
      </c>
      <c r="V126" t="b">
        <v>0</v>
      </c>
      <c r="W126" t="str" cm="1">
        <f t="array" ref="W126">IF(AND(D126:D474&gt;40, K126:K474&lt;300, H126:H474&lt;8000), "Not Eligible", "Eligible")</f>
        <v>Eligible</v>
      </c>
      <c r="X126" t="str">
        <f t="shared" si="4"/>
        <v>Bad</v>
      </c>
      <c r="Y126" t="str">
        <f t="shared" si="5"/>
        <v/>
      </c>
      <c r="Z126" t="b">
        <v>1</v>
      </c>
    </row>
    <row r="127" spans="1:26" x14ac:dyDescent="0.3">
      <c r="A127" s="5">
        <f t="shared" si="6"/>
        <v>126</v>
      </c>
      <c r="B127" s="7" t="s">
        <v>171</v>
      </c>
      <c r="C127" s="7" t="s">
        <v>172</v>
      </c>
      <c r="D127" s="6">
        <v>24</v>
      </c>
      <c r="E127" s="6" t="s">
        <v>14</v>
      </c>
      <c r="F127" s="6" t="s">
        <v>22</v>
      </c>
      <c r="G127" s="6">
        <v>5000</v>
      </c>
      <c r="H127" s="6">
        <v>56000</v>
      </c>
      <c r="I127" s="6" t="s">
        <v>23</v>
      </c>
      <c r="J127" s="6">
        <v>10000</v>
      </c>
      <c r="K127" s="6">
        <v>700</v>
      </c>
      <c r="L127" s="6" t="s">
        <v>24</v>
      </c>
      <c r="M127" s="6" t="s">
        <v>81</v>
      </c>
      <c r="N127" s="6" t="s">
        <v>18</v>
      </c>
      <c r="O127" s="5">
        <v>5</v>
      </c>
      <c r="P127">
        <v>5.6</v>
      </c>
      <c r="Q127" t="b">
        <v>1</v>
      </c>
      <c r="R127" s="5" t="str">
        <v>Even</v>
      </c>
      <c r="S127">
        <f t="shared" si="3"/>
        <v>94</v>
      </c>
      <c r="T127" t="str">
        <v>Good</v>
      </c>
      <c r="U127" t="str">
        <v/>
      </c>
      <c r="V127" t="b">
        <v>0</v>
      </c>
      <c r="W127" t="str" cm="1">
        <f t="array" ref="W127">IF(AND(D127:D475&gt;40, K127:K475&lt;300, H127:H475&lt;8000), "Not Eligible", "Eligible")</f>
        <v>Eligible</v>
      </c>
      <c r="X127" t="str">
        <f t="shared" si="4"/>
        <v>Good</v>
      </c>
      <c r="Y127" t="str">
        <f t="shared" si="5"/>
        <v>In Progress</v>
      </c>
      <c r="Z127" t="b">
        <v>0</v>
      </c>
    </row>
    <row r="128" spans="1:26" x14ac:dyDescent="0.3">
      <c r="A128" s="5">
        <f t="shared" si="6"/>
        <v>127</v>
      </c>
      <c r="B128" s="7" t="s">
        <v>173</v>
      </c>
      <c r="C128" s="7" t="s">
        <v>174</v>
      </c>
      <c r="D128" s="6">
        <v>29</v>
      </c>
      <c r="E128" s="6" t="s">
        <v>21</v>
      </c>
      <c r="F128" s="6" t="s">
        <v>15</v>
      </c>
      <c r="G128" s="6">
        <v>1500</v>
      </c>
      <c r="H128" s="6">
        <v>45000</v>
      </c>
      <c r="I128" s="6" t="s">
        <v>16</v>
      </c>
      <c r="J128" s="6">
        <v>0</v>
      </c>
      <c r="K128" s="6">
        <v>670</v>
      </c>
      <c r="L128" s="6" t="s">
        <v>28</v>
      </c>
      <c r="M128" s="6" t="s">
        <v>81</v>
      </c>
      <c r="N128" s="6" t="s">
        <v>25</v>
      </c>
      <c r="O128" s="5">
        <v>3</v>
      </c>
      <c r="P128" t="e">
        <v>#DIV/0!</v>
      </c>
      <c r="Q128" t="b">
        <v>0</v>
      </c>
      <c r="R128" s="5" t="str">
        <v>Odd</v>
      </c>
      <c r="S128">
        <f t="shared" si="3"/>
        <v>204</v>
      </c>
      <c r="T128" t="str">
        <v/>
      </c>
      <c r="U128" t="str">
        <v>Bad</v>
      </c>
      <c r="V128" t="b">
        <v>0</v>
      </c>
      <c r="W128" t="str" cm="1">
        <f t="array" ref="W128">IF(AND(D128:D476&gt;40, K128:K476&lt;300, H128:H476&lt;8000), "Not Eligible", "Eligible")</f>
        <v>Eligible</v>
      </c>
      <c r="X128" t="str">
        <f t="shared" si="4"/>
        <v>Bad</v>
      </c>
      <c r="Y128" t="str">
        <f t="shared" si="5"/>
        <v/>
      </c>
      <c r="Z128" t="b">
        <v>1</v>
      </c>
    </row>
    <row r="129" spans="1:26" x14ac:dyDescent="0.3">
      <c r="A129" s="5">
        <f t="shared" si="6"/>
        <v>128</v>
      </c>
      <c r="B129" s="7" t="s">
        <v>175</v>
      </c>
      <c r="C129" s="7" t="s">
        <v>176</v>
      </c>
      <c r="D129" s="6">
        <v>43</v>
      </c>
      <c r="E129" s="6" t="s">
        <v>14</v>
      </c>
      <c r="F129" s="6" t="s">
        <v>22</v>
      </c>
      <c r="G129" s="6">
        <v>11000</v>
      </c>
      <c r="H129" s="6">
        <v>74000</v>
      </c>
      <c r="I129" s="6" t="s">
        <v>23</v>
      </c>
      <c r="J129" s="6">
        <v>12000</v>
      </c>
      <c r="K129" s="6">
        <v>720</v>
      </c>
      <c r="L129" s="6" t="s">
        <v>31</v>
      </c>
      <c r="M129" s="6" t="s">
        <v>81</v>
      </c>
      <c r="N129" s="6" t="s">
        <v>18</v>
      </c>
      <c r="O129" s="5">
        <v>8</v>
      </c>
      <c r="P129">
        <v>6.166666666666667</v>
      </c>
      <c r="Q129" t="b">
        <v>1</v>
      </c>
      <c r="R129" s="5" t="str">
        <v>Odd</v>
      </c>
      <c r="S129">
        <f t="shared" si="3"/>
        <v>16</v>
      </c>
      <c r="T129" t="str">
        <v>Good</v>
      </c>
      <c r="U129" t="str">
        <v/>
      </c>
      <c r="V129" t="b">
        <v>0</v>
      </c>
      <c r="W129" t="str" cm="1">
        <f t="array" ref="W129">IF(AND(D129:D477&gt;40, K129:K477&lt;300, H129:H477&lt;8000), "Not Eligible", "Eligible")</f>
        <v>Eligible</v>
      </c>
      <c r="X129" t="str">
        <f t="shared" si="4"/>
        <v>Good</v>
      </c>
      <c r="Y129" t="str">
        <f t="shared" si="5"/>
        <v>In Progress</v>
      </c>
      <c r="Z129" t="b">
        <v>0</v>
      </c>
    </row>
    <row r="130" spans="1:26" x14ac:dyDescent="0.3">
      <c r="A130" s="5">
        <f t="shared" si="6"/>
        <v>129</v>
      </c>
      <c r="B130" s="7" t="s">
        <v>177</v>
      </c>
      <c r="C130" s="7" t="s">
        <v>178</v>
      </c>
      <c r="D130" s="6">
        <v>36</v>
      </c>
      <c r="E130" s="6" t="s">
        <v>21</v>
      </c>
      <c r="F130" s="6" t="s">
        <v>15</v>
      </c>
      <c r="G130" s="6">
        <v>8000</v>
      </c>
      <c r="H130" s="6">
        <v>63000</v>
      </c>
      <c r="I130" s="6" t="s">
        <v>16</v>
      </c>
      <c r="J130" s="6">
        <v>0</v>
      </c>
      <c r="K130" s="6">
        <v>710</v>
      </c>
      <c r="L130" s="6" t="s">
        <v>17</v>
      </c>
      <c r="M130" s="6" t="s">
        <v>80</v>
      </c>
      <c r="N130" s="6" t="s">
        <v>25</v>
      </c>
      <c r="O130" s="5">
        <v>4</v>
      </c>
      <c r="P130" t="e">
        <v>#DIV/0!</v>
      </c>
      <c r="Q130" t="b">
        <v>0</v>
      </c>
      <c r="R130" s="5" t="str">
        <v>Even</v>
      </c>
      <c r="S130">
        <f t="shared" si="3"/>
        <v>60</v>
      </c>
      <c r="T130" t="str">
        <v/>
      </c>
      <c r="U130" t="str">
        <v>Bad</v>
      </c>
      <c r="V130" t="b">
        <v>0</v>
      </c>
      <c r="W130" t="str" cm="1">
        <f t="array" ref="W130">IF(AND(D130:D478&gt;40, K130:K478&lt;300, H130:H478&lt;8000), "Not Eligible", "Eligible")</f>
        <v>Eligible</v>
      </c>
      <c r="X130" t="str">
        <f t="shared" si="4"/>
        <v>Bad</v>
      </c>
      <c r="Y130" t="str">
        <f t="shared" si="5"/>
        <v/>
      </c>
      <c r="Z130" t="b">
        <v>1</v>
      </c>
    </row>
    <row r="131" spans="1:26" x14ac:dyDescent="0.3">
      <c r="A131" s="5">
        <f t="shared" si="6"/>
        <v>130</v>
      </c>
      <c r="B131" s="7" t="s">
        <v>179</v>
      </c>
      <c r="C131" s="7" t="s">
        <v>180</v>
      </c>
      <c r="D131" s="6">
        <v>28</v>
      </c>
      <c r="E131" s="6" t="s">
        <v>14</v>
      </c>
      <c r="F131" s="6" t="s">
        <v>22</v>
      </c>
      <c r="G131" s="6">
        <v>2000</v>
      </c>
      <c r="H131" s="6">
        <v>47000</v>
      </c>
      <c r="I131" s="6" t="s">
        <v>23</v>
      </c>
      <c r="J131" s="6">
        <v>5000</v>
      </c>
      <c r="K131" s="6">
        <v>680</v>
      </c>
      <c r="L131" s="6" t="s">
        <v>24</v>
      </c>
      <c r="M131" s="6" t="s">
        <v>80</v>
      </c>
      <c r="N131" s="6" t="s">
        <v>18</v>
      </c>
      <c r="O131" s="5" t="s">
        <v>319</v>
      </c>
      <c r="P131">
        <v>9.4</v>
      </c>
      <c r="Q131" t="b">
        <v>1</v>
      </c>
      <c r="R131" s="5" t="str">
        <v>Even</v>
      </c>
      <c r="S131">
        <f t="shared" ref="S131:S194" si="7">_xlfn.RANK.EQ(K131,K131:K479,0)</f>
        <v>160</v>
      </c>
      <c r="T131" t="str">
        <v>Good</v>
      </c>
      <c r="U131" t="str">
        <v/>
      </c>
      <c r="V131" t="b">
        <v>1</v>
      </c>
      <c r="W131" t="str" cm="1">
        <f t="array" ref="W131">IF(AND(D131:D479&gt;40, K131:K479&lt;300, H131:H479&lt;8000), "Not Eligible", "Eligible")</f>
        <v>Eligible</v>
      </c>
      <c r="X131" t="str">
        <f t="shared" ref="X131:X194" si="8">IF(AND(E131="M",K131&gt;500,G131&gt;2000),"Good", "Bad")</f>
        <v>Bad</v>
      </c>
      <c r="Y131" t="str">
        <f t="shared" ref="Y131:Y194" si="9">IF(AND(M131&lt;&gt;"none",N131="Active"),"In Progress", "")</f>
        <v>In Progress</v>
      </c>
      <c r="Z131" t="b">
        <v>0</v>
      </c>
    </row>
    <row r="132" spans="1:26" x14ac:dyDescent="0.3">
      <c r="A132" s="5">
        <f t="shared" si="6"/>
        <v>131</v>
      </c>
      <c r="B132" s="7" t="s">
        <v>181</v>
      </c>
      <c r="C132" s="7" t="s">
        <v>182</v>
      </c>
      <c r="D132" s="6">
        <v>31</v>
      </c>
      <c r="E132" s="6" t="s">
        <v>21</v>
      </c>
      <c r="F132" s="6" t="s">
        <v>15</v>
      </c>
      <c r="G132" s="6">
        <v>4000</v>
      </c>
      <c r="H132" s="6">
        <v>55000</v>
      </c>
      <c r="I132" s="6" t="s">
        <v>16</v>
      </c>
      <c r="J132" s="6">
        <v>0</v>
      </c>
      <c r="K132" s="6">
        <v>690</v>
      </c>
      <c r="L132" s="6" t="s">
        <v>28</v>
      </c>
      <c r="M132" s="6" t="s">
        <v>81</v>
      </c>
      <c r="N132" s="6" t="s">
        <v>25</v>
      </c>
      <c r="O132" s="5">
        <v>7</v>
      </c>
      <c r="P132" t="e">
        <v>#DIV/0!</v>
      </c>
      <c r="Q132" t="b">
        <v>0</v>
      </c>
      <c r="R132" s="5" t="str">
        <v>Odd</v>
      </c>
      <c r="S132">
        <f t="shared" si="7"/>
        <v>122</v>
      </c>
      <c r="T132" t="str">
        <v/>
      </c>
      <c r="U132" t="str">
        <v>Bad</v>
      </c>
      <c r="V132" t="b">
        <v>0</v>
      </c>
      <c r="W132" t="str" cm="1">
        <f t="array" ref="W132">IF(AND(D132:D480&gt;40, K132:K480&lt;300, H132:H480&lt;8000), "Not Eligible", "Eligible")</f>
        <v>Eligible</v>
      </c>
      <c r="X132" t="str">
        <f t="shared" si="8"/>
        <v>Bad</v>
      </c>
      <c r="Y132" t="str">
        <f t="shared" si="9"/>
        <v/>
      </c>
      <c r="Z132" t="b">
        <v>1</v>
      </c>
    </row>
    <row r="133" spans="1:26" x14ac:dyDescent="0.3">
      <c r="A133" s="5">
        <f t="shared" si="6"/>
        <v>132</v>
      </c>
      <c r="B133" s="7" t="s">
        <v>183</v>
      </c>
      <c r="C133" s="7" t="s">
        <v>184</v>
      </c>
      <c r="D133" s="6">
        <v>44</v>
      </c>
      <c r="E133" s="6" t="s">
        <v>14</v>
      </c>
      <c r="F133" s="6" t="s">
        <v>22</v>
      </c>
      <c r="G133" s="6">
        <v>6000</v>
      </c>
      <c r="H133" s="6">
        <v>62000</v>
      </c>
      <c r="I133" s="6" t="s">
        <v>23</v>
      </c>
      <c r="J133" s="6">
        <v>10000</v>
      </c>
      <c r="K133" s="6">
        <v>700</v>
      </c>
      <c r="L133" s="6" t="s">
        <v>31</v>
      </c>
      <c r="M133" s="6" t="s">
        <v>81</v>
      </c>
      <c r="N133" s="6" t="s">
        <v>18</v>
      </c>
      <c r="O133" s="5">
        <v>12</v>
      </c>
      <c r="P133">
        <v>6.2</v>
      </c>
      <c r="Q133" t="b">
        <v>1</v>
      </c>
      <c r="R133" s="5" t="str">
        <v>Even</v>
      </c>
      <c r="S133">
        <f t="shared" si="7"/>
        <v>92</v>
      </c>
      <c r="T133" t="str">
        <v>Good</v>
      </c>
      <c r="U133" t="str">
        <v/>
      </c>
      <c r="V133" t="b">
        <v>0</v>
      </c>
      <c r="W133" t="str" cm="1">
        <f t="array" ref="W133">IF(AND(D133:D481&gt;40, K133:K481&lt;300, H133:H481&lt;8000), "Not Eligible", "Eligible")</f>
        <v>Eligible</v>
      </c>
      <c r="X133" t="str">
        <f t="shared" si="8"/>
        <v>Good</v>
      </c>
      <c r="Y133" t="str">
        <f t="shared" si="9"/>
        <v>In Progress</v>
      </c>
      <c r="Z133" t="b">
        <v>0</v>
      </c>
    </row>
    <row r="134" spans="1:26" x14ac:dyDescent="0.3">
      <c r="A134" s="5">
        <f t="shared" si="6"/>
        <v>133</v>
      </c>
      <c r="B134" s="7" t="s">
        <v>185</v>
      </c>
      <c r="C134" s="7" t="s">
        <v>186</v>
      </c>
      <c r="D134" s="6">
        <v>39</v>
      </c>
      <c r="E134" s="6" t="s">
        <v>21</v>
      </c>
      <c r="F134" s="6" t="s">
        <v>15</v>
      </c>
      <c r="G134" s="6">
        <v>9000</v>
      </c>
      <c r="H134" s="6">
        <v>67000</v>
      </c>
      <c r="I134" s="6" t="s">
        <v>16</v>
      </c>
      <c r="J134" s="6">
        <v>0</v>
      </c>
      <c r="K134" s="6">
        <v>720</v>
      </c>
      <c r="L134" s="6" t="s">
        <v>17</v>
      </c>
      <c r="M134" s="6" t="s">
        <v>81</v>
      </c>
      <c r="N134" s="6" t="s">
        <v>25</v>
      </c>
      <c r="O134" s="5">
        <v>11</v>
      </c>
      <c r="P134" t="e">
        <v>#DIV/0!</v>
      </c>
      <c r="Q134" t="b">
        <v>0</v>
      </c>
      <c r="R134" s="5" t="str">
        <v>Odd</v>
      </c>
      <c r="S134">
        <f t="shared" si="7"/>
        <v>16</v>
      </c>
      <c r="T134" t="str">
        <v/>
      </c>
      <c r="U134" t="str">
        <v>Bad</v>
      </c>
      <c r="V134" t="b">
        <v>0</v>
      </c>
      <c r="W134" t="str" cm="1">
        <f t="array" ref="W134">IF(AND(D134:D482&gt;40, K134:K482&lt;300, H134:H482&lt;8000), "Not Eligible", "Eligible")</f>
        <v>Eligible</v>
      </c>
      <c r="X134" t="str">
        <f t="shared" si="8"/>
        <v>Bad</v>
      </c>
      <c r="Y134" t="str">
        <f t="shared" si="9"/>
        <v/>
      </c>
      <c r="Z134" t="b">
        <v>1</v>
      </c>
    </row>
    <row r="135" spans="1:26" x14ac:dyDescent="0.3">
      <c r="A135" s="5">
        <f t="shared" si="6"/>
        <v>134</v>
      </c>
      <c r="B135" s="7" t="s">
        <v>187</v>
      </c>
      <c r="C135" s="7" t="s">
        <v>188</v>
      </c>
      <c r="D135" s="6">
        <v>27</v>
      </c>
      <c r="E135" s="6" t="s">
        <v>14</v>
      </c>
      <c r="F135" s="6" t="s">
        <v>22</v>
      </c>
      <c r="G135" s="6">
        <v>2500</v>
      </c>
      <c r="H135" s="6">
        <v>49000</v>
      </c>
      <c r="I135" s="6" t="s">
        <v>23</v>
      </c>
      <c r="J135" s="6">
        <v>7000</v>
      </c>
      <c r="K135" s="6">
        <v>680</v>
      </c>
      <c r="L135" s="6" t="s">
        <v>24</v>
      </c>
      <c r="M135" s="6" t="s">
        <v>82</v>
      </c>
      <c r="N135" s="6" t="s">
        <v>18</v>
      </c>
      <c r="O135" s="5">
        <v>3</v>
      </c>
      <c r="P135">
        <v>7</v>
      </c>
      <c r="Q135" t="b">
        <v>1</v>
      </c>
      <c r="R135" s="5" t="str">
        <v>Odd</v>
      </c>
      <c r="S135">
        <f t="shared" si="7"/>
        <v>157</v>
      </c>
      <c r="T135" t="str">
        <v>Good</v>
      </c>
      <c r="U135" t="str">
        <v/>
      </c>
      <c r="V135" t="b">
        <v>0</v>
      </c>
      <c r="W135" t="str" cm="1">
        <f t="array" ref="W135">IF(AND(D135:D483&gt;40, K135:K483&lt;300, H135:H483&lt;8000), "Not Eligible", "Eligible")</f>
        <v>Eligible</v>
      </c>
      <c r="X135" t="str">
        <f t="shared" si="8"/>
        <v>Good</v>
      </c>
      <c r="Y135" t="str">
        <f t="shared" si="9"/>
        <v>In Progress</v>
      </c>
      <c r="Z135" t="b">
        <v>0</v>
      </c>
    </row>
    <row r="136" spans="1:26" x14ac:dyDescent="0.3">
      <c r="A136" s="5">
        <f t="shared" si="6"/>
        <v>135</v>
      </c>
      <c r="B136" s="7" t="s">
        <v>189</v>
      </c>
      <c r="C136" s="7" t="s">
        <v>190</v>
      </c>
      <c r="D136" s="6">
        <v>40</v>
      </c>
      <c r="E136" s="6" t="s">
        <v>21</v>
      </c>
      <c r="F136" s="6" t="s">
        <v>15</v>
      </c>
      <c r="G136" s="6">
        <v>7000</v>
      </c>
      <c r="H136" s="6">
        <v>71000</v>
      </c>
      <c r="I136" s="6" t="s">
        <v>16</v>
      </c>
      <c r="J136" s="6">
        <v>0</v>
      </c>
      <c r="K136" s="6">
        <v>710</v>
      </c>
      <c r="L136" s="6" t="s">
        <v>28</v>
      </c>
      <c r="M136" s="6" t="s">
        <v>82</v>
      </c>
      <c r="N136" s="6" t="s">
        <v>25</v>
      </c>
      <c r="O136" s="5">
        <v>5</v>
      </c>
      <c r="P136" t="e">
        <v>#DIV/0!</v>
      </c>
      <c r="Q136" t="b">
        <v>0</v>
      </c>
      <c r="R136" s="5" t="str">
        <v>Even</v>
      </c>
      <c r="S136">
        <f t="shared" si="7"/>
        <v>59</v>
      </c>
      <c r="T136" t="str">
        <v/>
      </c>
      <c r="U136" t="str">
        <v>Bad</v>
      </c>
      <c r="V136" t="b">
        <v>0</v>
      </c>
      <c r="W136" t="str" cm="1">
        <f t="array" ref="W136">IF(AND(D136:D484&gt;40, K136:K484&lt;300, H136:H484&lt;8000), "Not Eligible", "Eligible")</f>
        <v>Eligible</v>
      </c>
      <c r="X136" t="str">
        <f t="shared" si="8"/>
        <v>Bad</v>
      </c>
      <c r="Y136" t="str">
        <f t="shared" si="9"/>
        <v/>
      </c>
      <c r="Z136" t="b">
        <v>1</v>
      </c>
    </row>
    <row r="137" spans="1:26" x14ac:dyDescent="0.3">
      <c r="A137" s="5">
        <f t="shared" si="6"/>
        <v>136</v>
      </c>
      <c r="B137" s="7" t="s">
        <v>191</v>
      </c>
      <c r="C137" s="7" t="s">
        <v>192</v>
      </c>
      <c r="D137" s="6">
        <v>34</v>
      </c>
      <c r="E137" s="6" t="s">
        <v>14</v>
      </c>
      <c r="F137" s="6" t="s">
        <v>22</v>
      </c>
      <c r="G137" s="6">
        <v>15000</v>
      </c>
      <c r="H137" s="6">
        <v>73000</v>
      </c>
      <c r="I137" s="6" t="s">
        <v>23</v>
      </c>
      <c r="J137" s="6">
        <v>13000</v>
      </c>
      <c r="K137" s="6">
        <v>720</v>
      </c>
      <c r="L137" s="6" t="s">
        <v>31</v>
      </c>
      <c r="M137" s="6" t="s">
        <v>82</v>
      </c>
      <c r="N137" s="6" t="s">
        <v>18</v>
      </c>
      <c r="O137" s="5" t="s">
        <v>319</v>
      </c>
      <c r="P137">
        <v>5.615384615384615</v>
      </c>
      <c r="Q137" t="b">
        <v>1</v>
      </c>
      <c r="R137" s="5" t="str">
        <v>Even</v>
      </c>
      <c r="S137">
        <f t="shared" si="7"/>
        <v>16</v>
      </c>
      <c r="T137" t="str">
        <v>Good</v>
      </c>
      <c r="U137" t="str">
        <v/>
      </c>
      <c r="V137" t="b">
        <v>1</v>
      </c>
      <c r="W137" t="str" cm="1">
        <f t="array" ref="W137">IF(AND(D137:D485&gt;40, K137:K485&lt;300, H137:H485&lt;8000), "Not Eligible", "Eligible")</f>
        <v>Eligible</v>
      </c>
      <c r="X137" t="str">
        <f t="shared" si="8"/>
        <v>Good</v>
      </c>
      <c r="Y137" t="str">
        <f t="shared" si="9"/>
        <v>In Progress</v>
      </c>
      <c r="Z137" t="b">
        <v>0</v>
      </c>
    </row>
    <row r="138" spans="1:26" x14ac:dyDescent="0.3">
      <c r="A138" s="5">
        <f t="shared" si="6"/>
        <v>137</v>
      </c>
      <c r="B138" s="7" t="s">
        <v>193</v>
      </c>
      <c r="C138" s="7" t="s">
        <v>194</v>
      </c>
      <c r="D138" s="6">
        <v>29</v>
      </c>
      <c r="E138" s="6" t="s">
        <v>21</v>
      </c>
      <c r="F138" s="6" t="s">
        <v>15</v>
      </c>
      <c r="G138" s="6">
        <v>2500</v>
      </c>
      <c r="H138" s="6">
        <v>47000</v>
      </c>
      <c r="I138" s="6" t="s">
        <v>16</v>
      </c>
      <c r="J138" s="6">
        <v>0</v>
      </c>
      <c r="K138" s="6">
        <v>680</v>
      </c>
      <c r="L138" s="6" t="s">
        <v>17</v>
      </c>
      <c r="M138" s="6" t="s">
        <v>80</v>
      </c>
      <c r="N138" s="6" t="s">
        <v>25</v>
      </c>
      <c r="O138" s="5">
        <v>11</v>
      </c>
      <c r="P138" t="e">
        <v>#DIV/0!</v>
      </c>
      <c r="Q138" t="b">
        <v>0</v>
      </c>
      <c r="R138" s="5" t="str">
        <v>Odd</v>
      </c>
      <c r="S138">
        <f t="shared" si="7"/>
        <v>155</v>
      </c>
      <c r="T138" t="str">
        <v/>
      </c>
      <c r="U138" t="str">
        <v>Bad</v>
      </c>
      <c r="V138" t="b">
        <v>0</v>
      </c>
      <c r="W138" t="str" cm="1">
        <f t="array" ref="W138">IF(AND(D138:D486&gt;40, K138:K486&lt;300, H138:H486&lt;8000), "Not Eligible", "Eligible")</f>
        <v>Eligible</v>
      </c>
      <c r="X138" t="str">
        <f t="shared" si="8"/>
        <v>Bad</v>
      </c>
      <c r="Y138" t="str">
        <f t="shared" si="9"/>
        <v/>
      </c>
      <c r="Z138" t="b">
        <v>1</v>
      </c>
    </row>
    <row r="139" spans="1:26" x14ac:dyDescent="0.3">
      <c r="A139" s="5">
        <f t="shared" si="6"/>
        <v>138</v>
      </c>
      <c r="B139" s="7" t="s">
        <v>195</v>
      </c>
      <c r="C139" s="7" t="s">
        <v>196</v>
      </c>
      <c r="D139" s="6">
        <v>31</v>
      </c>
      <c r="E139" s="6" t="s">
        <v>14</v>
      </c>
      <c r="F139" s="6" t="s">
        <v>22</v>
      </c>
      <c r="G139" s="6">
        <v>5000</v>
      </c>
      <c r="H139" s="6">
        <v>53000</v>
      </c>
      <c r="I139" s="6" t="s">
        <v>23</v>
      </c>
      <c r="J139" s="6">
        <v>8000</v>
      </c>
      <c r="K139" s="6">
        <v>690</v>
      </c>
      <c r="L139" s="6" t="s">
        <v>24</v>
      </c>
      <c r="M139" s="6" t="s">
        <v>80</v>
      </c>
      <c r="N139" s="6" t="s">
        <v>18</v>
      </c>
      <c r="O139" s="5">
        <v>11</v>
      </c>
      <c r="P139">
        <v>6.625</v>
      </c>
      <c r="Q139" t="b">
        <v>1</v>
      </c>
      <c r="R139" s="5" t="str">
        <v>Odd</v>
      </c>
      <c r="S139">
        <f t="shared" si="7"/>
        <v>118</v>
      </c>
      <c r="T139" t="str">
        <v>Good</v>
      </c>
      <c r="U139" t="str">
        <v/>
      </c>
      <c r="V139" t="b">
        <v>0</v>
      </c>
      <c r="W139" t="str" cm="1">
        <f t="array" ref="W139">IF(AND(D139:D487&gt;40, K139:K487&lt;300, H139:H487&lt;8000), "Not Eligible", "Eligible")</f>
        <v>Eligible</v>
      </c>
      <c r="X139" t="str">
        <f t="shared" si="8"/>
        <v>Good</v>
      </c>
      <c r="Y139" t="str">
        <f t="shared" si="9"/>
        <v>In Progress</v>
      </c>
      <c r="Z139" t="b">
        <v>0</v>
      </c>
    </row>
    <row r="140" spans="1:26" x14ac:dyDescent="0.3">
      <c r="A140" s="5">
        <f t="shared" si="6"/>
        <v>139</v>
      </c>
      <c r="B140" s="7" t="s">
        <v>197</v>
      </c>
      <c r="C140" s="7" t="s">
        <v>198</v>
      </c>
      <c r="D140" s="6">
        <v>42</v>
      </c>
      <c r="E140" s="6" t="s">
        <v>21</v>
      </c>
      <c r="F140" s="6" t="s">
        <v>15</v>
      </c>
      <c r="G140" s="6">
        <v>6000</v>
      </c>
      <c r="H140" s="6">
        <v>69000</v>
      </c>
      <c r="I140" s="6" t="s">
        <v>16</v>
      </c>
      <c r="J140" s="6">
        <v>0</v>
      </c>
      <c r="K140" s="6">
        <v>720</v>
      </c>
      <c r="L140" s="6" t="s">
        <v>28</v>
      </c>
      <c r="M140" s="6" t="s">
        <v>80</v>
      </c>
      <c r="N140" s="6" t="s">
        <v>25</v>
      </c>
      <c r="O140" s="5">
        <v>6</v>
      </c>
      <c r="P140" t="e">
        <v>#DIV/0!</v>
      </c>
      <c r="Q140" t="b">
        <v>0</v>
      </c>
      <c r="R140" s="5" t="str">
        <v>Even</v>
      </c>
      <c r="S140">
        <f t="shared" si="7"/>
        <v>16</v>
      </c>
      <c r="T140" t="str">
        <v/>
      </c>
      <c r="U140" t="str">
        <v>Bad</v>
      </c>
      <c r="V140" t="b">
        <v>0</v>
      </c>
      <c r="W140" t="str" cm="1">
        <f t="array" ref="W140">IF(AND(D140:D488&gt;40, K140:K488&lt;300, H140:H488&lt;8000), "Not Eligible", "Eligible")</f>
        <v>Eligible</v>
      </c>
      <c r="X140" t="str">
        <f t="shared" si="8"/>
        <v>Bad</v>
      </c>
      <c r="Y140" t="str">
        <f t="shared" si="9"/>
        <v/>
      </c>
      <c r="Z140" t="b">
        <v>1</v>
      </c>
    </row>
    <row r="141" spans="1:26" x14ac:dyDescent="0.3">
      <c r="A141" s="5">
        <f t="shared" si="6"/>
        <v>140</v>
      </c>
      <c r="B141" s="7" t="s">
        <v>199</v>
      </c>
      <c r="C141" s="7" t="s">
        <v>200</v>
      </c>
      <c r="D141" s="6">
        <v>36</v>
      </c>
      <c r="E141" s="6" t="s">
        <v>14</v>
      </c>
      <c r="F141" s="6" t="s">
        <v>22</v>
      </c>
      <c r="G141" s="6">
        <v>2000</v>
      </c>
      <c r="H141" s="6">
        <v>45000</v>
      </c>
      <c r="I141" s="6" t="s">
        <v>23</v>
      </c>
      <c r="J141" s="6">
        <v>5000</v>
      </c>
      <c r="K141" s="6">
        <v>700</v>
      </c>
      <c r="L141" s="6" t="s">
        <v>31</v>
      </c>
      <c r="M141" s="6" t="s">
        <v>80</v>
      </c>
      <c r="N141" s="6" t="s">
        <v>18</v>
      </c>
      <c r="O141" s="5">
        <v>6</v>
      </c>
      <c r="P141">
        <v>9</v>
      </c>
      <c r="Q141" t="b">
        <v>1</v>
      </c>
      <c r="R141" s="5" t="str">
        <v>Even</v>
      </c>
      <c r="S141">
        <f t="shared" si="7"/>
        <v>88</v>
      </c>
      <c r="T141" t="str">
        <v>Good</v>
      </c>
      <c r="U141" t="str">
        <v/>
      </c>
      <c r="V141" t="b">
        <v>0</v>
      </c>
      <c r="W141" t="str" cm="1">
        <f t="array" ref="W141">IF(AND(D141:D489&gt;40, K141:K489&lt;300, H141:H489&lt;8000), "Not Eligible", "Eligible")</f>
        <v>Eligible</v>
      </c>
      <c r="X141" t="str">
        <f t="shared" si="8"/>
        <v>Bad</v>
      </c>
      <c r="Y141" t="str">
        <f t="shared" si="9"/>
        <v>In Progress</v>
      </c>
      <c r="Z141" t="b">
        <v>0</v>
      </c>
    </row>
    <row r="142" spans="1:26" x14ac:dyDescent="0.3">
      <c r="A142" s="5">
        <f t="shared" si="6"/>
        <v>141</v>
      </c>
      <c r="B142" s="7" t="s">
        <v>201</v>
      </c>
      <c r="C142" s="7" t="s">
        <v>202</v>
      </c>
      <c r="D142" s="6">
        <v>48</v>
      </c>
      <c r="E142" s="6" t="s">
        <v>21</v>
      </c>
      <c r="F142" s="6" t="s">
        <v>15</v>
      </c>
      <c r="G142" s="6">
        <v>8000</v>
      </c>
      <c r="H142" s="6">
        <v>74000</v>
      </c>
      <c r="I142" s="6" t="s">
        <v>16</v>
      </c>
      <c r="J142" s="6">
        <v>0</v>
      </c>
      <c r="K142" s="6">
        <v>680</v>
      </c>
      <c r="L142" s="6" t="s">
        <v>17</v>
      </c>
      <c r="M142" s="6" t="s">
        <v>81</v>
      </c>
      <c r="N142" s="6" t="s">
        <v>25</v>
      </c>
      <c r="O142" s="5">
        <v>5</v>
      </c>
      <c r="P142" t="e">
        <v>#DIV/0!</v>
      </c>
      <c r="Q142" t="b">
        <v>0</v>
      </c>
      <c r="R142" s="5" t="str">
        <v>Even</v>
      </c>
      <c r="S142">
        <f t="shared" si="7"/>
        <v>152</v>
      </c>
      <c r="T142" t="str">
        <v/>
      </c>
      <c r="U142" t="str">
        <v>Bad</v>
      </c>
      <c r="V142" t="b">
        <v>0</v>
      </c>
      <c r="W142" t="str" cm="1">
        <f t="array" ref="W142">IF(AND(D142:D490&gt;40, K142:K490&lt;300, H142:H490&lt;8000), "Not Eligible", "Eligible")</f>
        <v>Eligible</v>
      </c>
      <c r="X142" t="str">
        <f t="shared" si="8"/>
        <v>Bad</v>
      </c>
      <c r="Y142" t="str">
        <f t="shared" si="9"/>
        <v/>
      </c>
      <c r="Z142" t="b">
        <v>1</v>
      </c>
    </row>
    <row r="143" spans="1:26" x14ac:dyDescent="0.3">
      <c r="A143" s="5">
        <f t="shared" si="6"/>
        <v>142</v>
      </c>
      <c r="B143" s="7" t="s">
        <v>203</v>
      </c>
      <c r="C143" s="7" t="s">
        <v>204</v>
      </c>
      <c r="D143" s="6">
        <v>33</v>
      </c>
      <c r="E143" s="6" t="s">
        <v>14</v>
      </c>
      <c r="F143" s="6" t="s">
        <v>22</v>
      </c>
      <c r="G143" s="6">
        <v>4000</v>
      </c>
      <c r="H143" s="6">
        <v>60000</v>
      </c>
      <c r="I143" s="6" t="s">
        <v>23</v>
      </c>
      <c r="J143" s="6">
        <v>8000</v>
      </c>
      <c r="K143" s="6">
        <v>720</v>
      </c>
      <c r="L143" s="6" t="s">
        <v>24</v>
      </c>
      <c r="M143" s="6" t="s">
        <v>81</v>
      </c>
      <c r="N143" s="6" t="s">
        <v>18</v>
      </c>
      <c r="O143" s="5">
        <v>4</v>
      </c>
      <c r="P143">
        <v>7.5</v>
      </c>
      <c r="Q143" t="b">
        <v>1</v>
      </c>
      <c r="R143" s="5" t="str">
        <v>Odd</v>
      </c>
      <c r="S143">
        <f t="shared" si="7"/>
        <v>16</v>
      </c>
      <c r="T143" t="str">
        <v>Good</v>
      </c>
      <c r="U143" t="str">
        <v/>
      </c>
      <c r="V143" t="b">
        <v>0</v>
      </c>
      <c r="W143" t="str" cm="1">
        <f t="array" ref="W143">IF(AND(D143:D491&gt;40, K143:K491&lt;300, H143:H491&lt;8000), "Not Eligible", "Eligible")</f>
        <v>Eligible</v>
      </c>
      <c r="X143" t="str">
        <f t="shared" si="8"/>
        <v>Good</v>
      </c>
      <c r="Y143" t="str">
        <f t="shared" si="9"/>
        <v>In Progress</v>
      </c>
      <c r="Z143" t="b">
        <v>0</v>
      </c>
    </row>
    <row r="144" spans="1:26" x14ac:dyDescent="0.3">
      <c r="A144" s="5">
        <f t="shared" si="6"/>
        <v>143</v>
      </c>
      <c r="B144" s="7" t="s">
        <v>50</v>
      </c>
      <c r="C144" s="7" t="s">
        <v>205</v>
      </c>
      <c r="D144" s="6">
        <v>29</v>
      </c>
      <c r="E144" s="6" t="s">
        <v>21</v>
      </c>
      <c r="F144" s="6" t="s">
        <v>15</v>
      </c>
      <c r="G144" s="6">
        <v>3500</v>
      </c>
      <c r="H144" s="6">
        <v>55000</v>
      </c>
      <c r="I144" s="6" t="s">
        <v>16</v>
      </c>
      <c r="J144" s="6">
        <v>0</v>
      </c>
      <c r="K144" s="6">
        <v>690</v>
      </c>
      <c r="L144" s="6" t="s">
        <v>28</v>
      </c>
      <c r="M144" s="6" t="s">
        <v>81</v>
      </c>
      <c r="N144" s="6" t="s">
        <v>25</v>
      </c>
      <c r="O144" s="5">
        <v>6</v>
      </c>
      <c r="P144" t="e">
        <v>#DIV/0!</v>
      </c>
      <c r="Q144" t="b">
        <v>0</v>
      </c>
      <c r="R144" s="5" t="str">
        <v>Odd</v>
      </c>
      <c r="S144">
        <f t="shared" si="7"/>
        <v>115</v>
      </c>
      <c r="T144" t="str">
        <v/>
      </c>
      <c r="U144" t="str">
        <v>Bad</v>
      </c>
      <c r="V144" t="b">
        <v>0</v>
      </c>
      <c r="W144" t="str" cm="1">
        <f t="array" ref="W144">IF(AND(D144:D492&gt;40, K144:K492&lt;300, H144:H492&lt;8000), "Not Eligible", "Eligible")</f>
        <v>Eligible</v>
      </c>
      <c r="X144" t="str">
        <f t="shared" si="8"/>
        <v>Bad</v>
      </c>
      <c r="Y144" t="str">
        <f t="shared" si="9"/>
        <v/>
      </c>
      <c r="Z144" t="b">
        <v>1</v>
      </c>
    </row>
    <row r="145" spans="1:26" x14ac:dyDescent="0.3">
      <c r="A145" s="5">
        <f t="shared" si="6"/>
        <v>144</v>
      </c>
      <c r="B145" s="7" t="s">
        <v>206</v>
      </c>
      <c r="C145" s="7" t="s">
        <v>207</v>
      </c>
      <c r="D145" s="6">
        <v>37</v>
      </c>
      <c r="E145" s="6" t="s">
        <v>14</v>
      </c>
      <c r="F145" s="6" t="s">
        <v>15</v>
      </c>
      <c r="G145" s="6">
        <v>10000</v>
      </c>
      <c r="H145" s="6">
        <v>67000</v>
      </c>
      <c r="I145" s="6" t="s">
        <v>23</v>
      </c>
      <c r="J145" s="6">
        <v>12000</v>
      </c>
      <c r="K145" s="6">
        <v>710</v>
      </c>
      <c r="L145" s="6" t="s">
        <v>31</v>
      </c>
      <c r="M145" s="6" t="s">
        <v>81</v>
      </c>
      <c r="N145" s="6" t="s">
        <v>18</v>
      </c>
      <c r="O145" s="5">
        <v>5</v>
      </c>
      <c r="P145">
        <v>5.583333333333333</v>
      </c>
      <c r="Q145" t="b">
        <v>1</v>
      </c>
      <c r="R145" s="5" t="str">
        <v>Odd</v>
      </c>
      <c r="S145">
        <f t="shared" si="7"/>
        <v>56</v>
      </c>
      <c r="T145" t="str">
        <v>Good</v>
      </c>
      <c r="U145" t="str">
        <v/>
      </c>
      <c r="V145" t="b">
        <v>0</v>
      </c>
      <c r="W145" t="str" cm="1">
        <f t="array" ref="W145">IF(AND(D145:D493&gt;40, K145:K493&lt;300, H145:H493&lt;8000), "Not Eligible", "Eligible")</f>
        <v>Eligible</v>
      </c>
      <c r="X145" t="str">
        <f t="shared" si="8"/>
        <v>Good</v>
      </c>
      <c r="Y145" t="str">
        <f t="shared" si="9"/>
        <v>In Progress</v>
      </c>
      <c r="Z145" t="b">
        <v>0</v>
      </c>
    </row>
    <row r="146" spans="1:26" x14ac:dyDescent="0.3">
      <c r="A146" s="5">
        <f t="shared" si="6"/>
        <v>145</v>
      </c>
      <c r="B146" s="7" t="s">
        <v>208</v>
      </c>
      <c r="C146" s="7" t="s">
        <v>209</v>
      </c>
      <c r="D146" s="6">
        <v>34</v>
      </c>
      <c r="E146" s="6" t="s">
        <v>21</v>
      </c>
      <c r="F146" s="6" t="s">
        <v>15</v>
      </c>
      <c r="G146" s="6">
        <v>3000</v>
      </c>
      <c r="H146" s="6">
        <v>48000</v>
      </c>
      <c r="I146" s="6" t="s">
        <v>16</v>
      </c>
      <c r="J146" s="6">
        <v>0</v>
      </c>
      <c r="K146" s="6">
        <v>680</v>
      </c>
      <c r="L146" s="6" t="s">
        <v>17</v>
      </c>
      <c r="M146" s="6" t="s">
        <v>82</v>
      </c>
      <c r="N146" s="6" t="s">
        <v>25</v>
      </c>
      <c r="O146" s="5">
        <v>14</v>
      </c>
      <c r="P146" t="e">
        <v>#DIV/0!</v>
      </c>
      <c r="Q146" t="b">
        <v>0</v>
      </c>
      <c r="R146" s="5" t="str">
        <v>Even</v>
      </c>
      <c r="S146">
        <f t="shared" si="7"/>
        <v>149</v>
      </c>
      <c r="T146" t="str">
        <v/>
      </c>
      <c r="U146" t="str">
        <v>Bad</v>
      </c>
      <c r="V146" t="b">
        <v>0</v>
      </c>
      <c r="W146" t="str" cm="1">
        <f t="array" ref="W146">IF(AND(D146:D494&gt;40, K146:K494&lt;300, H146:H494&lt;8000), "Not Eligible", "Eligible")</f>
        <v>Eligible</v>
      </c>
      <c r="X146" t="str">
        <f t="shared" si="8"/>
        <v>Bad</v>
      </c>
      <c r="Y146" t="str">
        <f t="shared" si="9"/>
        <v/>
      </c>
      <c r="Z146" t="b">
        <v>1</v>
      </c>
    </row>
    <row r="147" spans="1:26" x14ac:dyDescent="0.3">
      <c r="A147" s="5">
        <f t="shared" si="6"/>
        <v>146</v>
      </c>
      <c r="B147" s="7" t="s">
        <v>210</v>
      </c>
      <c r="C147" s="7" t="s">
        <v>211</v>
      </c>
      <c r="D147" s="6">
        <v>45</v>
      </c>
      <c r="E147" s="6" t="s">
        <v>14</v>
      </c>
      <c r="F147" s="6" t="s">
        <v>15</v>
      </c>
      <c r="G147" s="6">
        <v>6000</v>
      </c>
      <c r="H147" s="6">
        <v>70000</v>
      </c>
      <c r="I147" s="6" t="s">
        <v>23</v>
      </c>
      <c r="J147" s="6">
        <v>15000</v>
      </c>
      <c r="K147" s="6">
        <v>690</v>
      </c>
      <c r="L147" s="6" t="s">
        <v>24</v>
      </c>
      <c r="M147" s="6" t="s">
        <v>82</v>
      </c>
      <c r="N147" s="6" t="s">
        <v>18</v>
      </c>
      <c r="O147" s="5">
        <v>12</v>
      </c>
      <c r="P147">
        <v>4.666666666666667</v>
      </c>
      <c r="Q147" t="b">
        <v>1</v>
      </c>
      <c r="R147" s="5" t="str">
        <v>Odd</v>
      </c>
      <c r="S147">
        <f t="shared" si="7"/>
        <v>114</v>
      </c>
      <c r="T147" t="str">
        <v>Good</v>
      </c>
      <c r="U147" t="str">
        <v/>
      </c>
      <c r="V147" t="b">
        <v>0</v>
      </c>
      <c r="W147" t="str" cm="1">
        <f t="array" ref="W147">IF(AND(D147:D495&gt;40, K147:K495&lt;300, H147:H495&lt;8000), "Not Eligible", "Eligible")</f>
        <v>Eligible</v>
      </c>
      <c r="X147" t="str">
        <f t="shared" si="8"/>
        <v>Good</v>
      </c>
      <c r="Y147" t="str">
        <f t="shared" si="9"/>
        <v>In Progress</v>
      </c>
      <c r="Z147" t="b">
        <v>0</v>
      </c>
    </row>
    <row r="148" spans="1:26" x14ac:dyDescent="0.3">
      <c r="A148" s="5">
        <f t="shared" si="6"/>
        <v>147</v>
      </c>
      <c r="B148" s="7" t="s">
        <v>212</v>
      </c>
      <c r="C148" s="7" t="s">
        <v>213</v>
      </c>
      <c r="D148" s="6">
        <v>28</v>
      </c>
      <c r="E148" s="6" t="s">
        <v>21</v>
      </c>
      <c r="F148" s="6" t="s">
        <v>15</v>
      </c>
      <c r="G148" s="6">
        <v>5500</v>
      </c>
      <c r="H148" s="6">
        <v>62000</v>
      </c>
      <c r="I148" s="6" t="s">
        <v>16</v>
      </c>
      <c r="J148" s="6">
        <v>0</v>
      </c>
      <c r="K148" s="6">
        <v>700</v>
      </c>
      <c r="L148" s="6" t="s">
        <v>28</v>
      </c>
      <c r="M148" s="6" t="s">
        <v>82</v>
      </c>
      <c r="N148" s="6" t="s">
        <v>25</v>
      </c>
      <c r="O148" s="5">
        <v>11</v>
      </c>
      <c r="P148" t="e">
        <v>#DIV/0!</v>
      </c>
      <c r="Q148" t="b">
        <v>0</v>
      </c>
      <c r="R148" s="5" t="str">
        <v>Even</v>
      </c>
      <c r="S148">
        <f t="shared" si="7"/>
        <v>86</v>
      </c>
      <c r="T148" t="str">
        <v/>
      </c>
      <c r="U148" t="str">
        <v>Bad</v>
      </c>
      <c r="V148" t="b">
        <v>0</v>
      </c>
      <c r="W148" t="str" cm="1">
        <f t="array" ref="W148">IF(AND(D148:D496&gt;40, K148:K496&lt;300, H148:H496&lt;8000), "Not Eligible", "Eligible")</f>
        <v>Eligible</v>
      </c>
      <c r="X148" t="str">
        <f t="shared" si="8"/>
        <v>Bad</v>
      </c>
      <c r="Y148" t="str">
        <f t="shared" si="9"/>
        <v/>
      </c>
      <c r="Z148" t="b">
        <v>1</v>
      </c>
    </row>
    <row r="149" spans="1:26" x14ac:dyDescent="0.3">
      <c r="A149" s="5">
        <f t="shared" si="6"/>
        <v>148</v>
      </c>
      <c r="B149" s="7" t="s">
        <v>214</v>
      </c>
      <c r="C149" s="7" t="s">
        <v>215</v>
      </c>
      <c r="D149" s="6">
        <v>42</v>
      </c>
      <c r="E149" s="6" t="s">
        <v>14</v>
      </c>
      <c r="F149" s="6" t="s">
        <v>22</v>
      </c>
      <c r="G149" s="6">
        <v>8000</v>
      </c>
      <c r="H149" s="6">
        <v>73000</v>
      </c>
      <c r="I149" s="6" t="s">
        <v>23</v>
      </c>
      <c r="J149" s="6">
        <v>10000</v>
      </c>
      <c r="K149" s="6">
        <v>720</v>
      </c>
      <c r="L149" s="6" t="s">
        <v>31</v>
      </c>
      <c r="M149" s="6" t="s">
        <v>82</v>
      </c>
      <c r="N149" s="6" t="s">
        <v>18</v>
      </c>
      <c r="O149" s="5">
        <v>8</v>
      </c>
      <c r="P149">
        <v>7.3</v>
      </c>
      <c r="Q149" t="b">
        <v>1</v>
      </c>
      <c r="R149" s="5" t="str">
        <v>Even</v>
      </c>
      <c r="S149">
        <f t="shared" si="7"/>
        <v>16</v>
      </c>
      <c r="T149" t="str">
        <v>Good</v>
      </c>
      <c r="U149" t="str">
        <v/>
      </c>
      <c r="V149" t="b">
        <v>0</v>
      </c>
      <c r="W149" t="str" cm="1">
        <f t="array" ref="W149">IF(AND(D149:D497&gt;40, K149:K497&lt;300, H149:H497&lt;8000), "Not Eligible", "Eligible")</f>
        <v>Eligible</v>
      </c>
      <c r="X149" t="str">
        <f t="shared" si="8"/>
        <v>Good</v>
      </c>
      <c r="Y149" t="str">
        <f t="shared" si="9"/>
        <v>In Progress</v>
      </c>
      <c r="Z149" t="b">
        <v>0</v>
      </c>
    </row>
    <row r="150" spans="1:26" x14ac:dyDescent="0.3">
      <c r="A150" s="5">
        <f t="shared" si="6"/>
        <v>149</v>
      </c>
      <c r="B150" s="7" t="s">
        <v>216</v>
      </c>
      <c r="C150" s="7" t="s">
        <v>38</v>
      </c>
      <c r="D150" s="6">
        <v>31</v>
      </c>
      <c r="E150" s="6" t="s">
        <v>21</v>
      </c>
      <c r="F150" s="6" t="s">
        <v>15</v>
      </c>
      <c r="G150" s="6">
        <v>1500</v>
      </c>
      <c r="H150" s="6">
        <v>51000</v>
      </c>
      <c r="I150" s="6" t="s">
        <v>16</v>
      </c>
      <c r="J150" s="6">
        <v>0</v>
      </c>
      <c r="K150" s="6">
        <v>680</v>
      </c>
      <c r="L150" s="6" t="s">
        <v>17</v>
      </c>
      <c r="M150" s="6" t="s">
        <v>80</v>
      </c>
      <c r="N150" s="6" t="s">
        <v>25</v>
      </c>
      <c r="O150" s="5">
        <v>4</v>
      </c>
      <c r="P150" t="e">
        <v>#DIV/0!</v>
      </c>
      <c r="Q150" t="b">
        <v>0</v>
      </c>
      <c r="R150" s="5" t="str">
        <v>Odd</v>
      </c>
      <c r="S150">
        <f t="shared" si="7"/>
        <v>146</v>
      </c>
      <c r="T150" t="str">
        <v/>
      </c>
      <c r="U150" t="str">
        <v>Bad</v>
      </c>
      <c r="V150" t="b">
        <v>0</v>
      </c>
      <c r="W150" t="str" cm="1">
        <f t="array" ref="W150">IF(AND(D150:D498&gt;40, K150:K498&lt;300, H150:H498&lt;8000), "Not Eligible", "Eligible")</f>
        <v>Eligible</v>
      </c>
      <c r="X150" t="str">
        <f t="shared" si="8"/>
        <v>Bad</v>
      </c>
      <c r="Y150" t="str">
        <f t="shared" si="9"/>
        <v/>
      </c>
      <c r="Z150" t="b">
        <v>1</v>
      </c>
    </row>
    <row r="151" spans="1:26" x14ac:dyDescent="0.3">
      <c r="A151" s="5">
        <f t="shared" si="6"/>
        <v>150</v>
      </c>
      <c r="B151" s="7" t="s">
        <v>217</v>
      </c>
      <c r="C151" s="7" t="s">
        <v>218</v>
      </c>
      <c r="D151" s="6">
        <v>29</v>
      </c>
      <c r="E151" s="6" t="s">
        <v>14</v>
      </c>
      <c r="F151" s="6" t="s">
        <v>22</v>
      </c>
      <c r="G151" s="6">
        <v>5000</v>
      </c>
      <c r="H151" s="6">
        <v>53000</v>
      </c>
      <c r="I151" s="6" t="s">
        <v>23</v>
      </c>
      <c r="J151" s="6">
        <v>7000</v>
      </c>
      <c r="K151" s="6">
        <v>690</v>
      </c>
      <c r="L151" s="6" t="s">
        <v>24</v>
      </c>
      <c r="M151" s="6" t="s">
        <v>80</v>
      </c>
      <c r="N151" s="6" t="s">
        <v>18</v>
      </c>
      <c r="O151" s="5" t="s">
        <v>319</v>
      </c>
      <c r="P151">
        <v>7.5714285714285712</v>
      </c>
      <c r="Q151" t="b">
        <v>1</v>
      </c>
      <c r="R151" s="5" t="str">
        <v>Odd</v>
      </c>
      <c r="S151">
        <f t="shared" si="7"/>
        <v>112</v>
      </c>
      <c r="T151" t="str">
        <v>Good</v>
      </c>
      <c r="U151" t="str">
        <v/>
      </c>
      <c r="V151" t="b">
        <v>1</v>
      </c>
      <c r="W151" t="str" cm="1">
        <f t="array" ref="W151">IF(AND(D151:D499&gt;40, K151:K499&lt;300, H151:H499&lt;8000), "Not Eligible", "Eligible")</f>
        <v>Eligible</v>
      </c>
      <c r="X151" t="str">
        <f t="shared" si="8"/>
        <v>Good</v>
      </c>
      <c r="Y151" t="str">
        <f t="shared" si="9"/>
        <v>In Progress</v>
      </c>
      <c r="Z151" t="b">
        <v>0</v>
      </c>
    </row>
    <row r="152" spans="1:26" x14ac:dyDescent="0.3">
      <c r="A152" s="5">
        <f t="shared" si="6"/>
        <v>151</v>
      </c>
      <c r="B152" s="7" t="s">
        <v>219</v>
      </c>
      <c r="C152" s="7" t="s">
        <v>220</v>
      </c>
      <c r="D152" s="6">
        <v>36</v>
      </c>
      <c r="E152" s="6" t="s">
        <v>21</v>
      </c>
      <c r="F152" s="6" t="s">
        <v>15</v>
      </c>
      <c r="G152" s="6">
        <v>6000</v>
      </c>
      <c r="H152" s="6">
        <v>67000</v>
      </c>
      <c r="I152" s="6" t="s">
        <v>16</v>
      </c>
      <c r="J152" s="6">
        <v>0</v>
      </c>
      <c r="K152" s="6">
        <v>710</v>
      </c>
      <c r="L152" s="6" t="s">
        <v>28</v>
      </c>
      <c r="M152" s="6" t="s">
        <v>80</v>
      </c>
      <c r="N152" s="6" t="s">
        <v>25</v>
      </c>
      <c r="O152" s="5">
        <v>7</v>
      </c>
      <c r="P152" t="e">
        <v>#DIV/0!</v>
      </c>
      <c r="Q152" t="b">
        <v>0</v>
      </c>
      <c r="R152" s="5" t="str">
        <v>Even</v>
      </c>
      <c r="S152">
        <f t="shared" si="7"/>
        <v>55</v>
      </c>
      <c r="T152" t="str">
        <v/>
      </c>
      <c r="U152" t="str">
        <v>Bad</v>
      </c>
      <c r="V152" t="b">
        <v>0</v>
      </c>
      <c r="W152" t="str" cm="1">
        <f t="array" ref="W152">IF(AND(D152:D500&gt;40, K152:K500&lt;300, H152:H500&lt;8000), "Not Eligible", "Eligible")</f>
        <v>Eligible</v>
      </c>
      <c r="X152" t="str">
        <f t="shared" si="8"/>
        <v>Bad</v>
      </c>
      <c r="Y152" t="str">
        <f t="shared" si="9"/>
        <v/>
      </c>
      <c r="Z152" t="b">
        <v>1</v>
      </c>
    </row>
    <row r="153" spans="1:26" x14ac:dyDescent="0.3">
      <c r="A153" s="5">
        <f t="shared" ref="A153:A216" si="10">ROW()-1</f>
        <v>152</v>
      </c>
      <c r="B153" s="7" t="s">
        <v>140</v>
      </c>
      <c r="C153" s="7" t="s">
        <v>221</v>
      </c>
      <c r="D153" s="6">
        <v>43</v>
      </c>
      <c r="E153" s="6" t="s">
        <v>14</v>
      </c>
      <c r="F153" s="6" t="s">
        <v>15</v>
      </c>
      <c r="G153" s="6">
        <v>4000</v>
      </c>
      <c r="H153" s="6">
        <v>46000</v>
      </c>
      <c r="I153" s="6" t="s">
        <v>23</v>
      </c>
      <c r="J153" s="6">
        <v>6000</v>
      </c>
      <c r="K153" s="6">
        <v>720</v>
      </c>
      <c r="L153" s="6" t="s">
        <v>31</v>
      </c>
      <c r="M153" s="6" t="s">
        <v>81</v>
      </c>
      <c r="N153" s="6" t="s">
        <v>18</v>
      </c>
      <c r="O153" s="5">
        <v>4</v>
      </c>
      <c r="P153">
        <v>7.666666666666667</v>
      </c>
      <c r="Q153" t="b">
        <v>1</v>
      </c>
      <c r="R153" s="5" t="str">
        <v>Odd</v>
      </c>
      <c r="S153">
        <f t="shared" si="7"/>
        <v>16</v>
      </c>
      <c r="T153" t="str">
        <v>Good</v>
      </c>
      <c r="U153" t="str">
        <v/>
      </c>
      <c r="V153" t="b">
        <v>0</v>
      </c>
      <c r="W153" t="str" cm="1">
        <f t="array" ref="W153">IF(AND(D153:D501&gt;40, K153:K501&lt;300, H153:H501&lt;8000), "Not Eligible", "Eligible")</f>
        <v>Eligible</v>
      </c>
      <c r="X153" t="str">
        <f t="shared" si="8"/>
        <v>Good</v>
      </c>
      <c r="Y153" t="str">
        <f t="shared" si="9"/>
        <v>In Progress</v>
      </c>
      <c r="Z153" t="b">
        <v>0</v>
      </c>
    </row>
    <row r="154" spans="1:26" x14ac:dyDescent="0.3">
      <c r="A154" s="5">
        <f t="shared" si="10"/>
        <v>153</v>
      </c>
      <c r="B154" s="7" t="s">
        <v>222</v>
      </c>
      <c r="C154" s="7" t="s">
        <v>223</v>
      </c>
      <c r="D154" s="6">
        <v>27</v>
      </c>
      <c r="E154" s="6" t="s">
        <v>21</v>
      </c>
      <c r="F154" s="6" t="s">
        <v>15</v>
      </c>
      <c r="G154" s="6">
        <v>2500</v>
      </c>
      <c r="H154" s="6">
        <v>47000</v>
      </c>
      <c r="I154" s="6" t="s">
        <v>16</v>
      </c>
      <c r="J154" s="6">
        <v>0</v>
      </c>
      <c r="K154" s="6">
        <v>670</v>
      </c>
      <c r="L154" s="6" t="s">
        <v>17</v>
      </c>
      <c r="M154" s="6" t="s">
        <v>81</v>
      </c>
      <c r="N154" s="6" t="s">
        <v>25</v>
      </c>
      <c r="O154" s="5">
        <v>14</v>
      </c>
      <c r="P154" t="e">
        <v>#DIV/0!</v>
      </c>
      <c r="Q154" t="b">
        <v>0</v>
      </c>
      <c r="R154" s="5" t="str">
        <v>Odd</v>
      </c>
      <c r="S154">
        <f t="shared" si="7"/>
        <v>179</v>
      </c>
      <c r="T154" t="str">
        <v/>
      </c>
      <c r="U154" t="str">
        <v>Bad</v>
      </c>
      <c r="V154" t="b">
        <v>0</v>
      </c>
      <c r="W154" t="str" cm="1">
        <f t="array" ref="W154">IF(AND(D154:D502&gt;40, K154:K502&lt;300, H154:H502&lt;8000), "Not Eligible", "Eligible")</f>
        <v>Eligible</v>
      </c>
      <c r="X154" t="str">
        <f t="shared" si="8"/>
        <v>Bad</v>
      </c>
      <c r="Y154" t="str">
        <f t="shared" si="9"/>
        <v/>
      </c>
      <c r="Z154" t="b">
        <v>1</v>
      </c>
    </row>
    <row r="155" spans="1:26" x14ac:dyDescent="0.3">
      <c r="A155" s="5">
        <f t="shared" si="10"/>
        <v>154</v>
      </c>
      <c r="B155" s="7" t="s">
        <v>224</v>
      </c>
      <c r="C155" s="7" t="s">
        <v>225</v>
      </c>
      <c r="D155" s="6">
        <v>39</v>
      </c>
      <c r="E155" s="6" t="s">
        <v>14</v>
      </c>
      <c r="F155" s="6" t="s">
        <v>22</v>
      </c>
      <c r="G155" s="6">
        <v>9000</v>
      </c>
      <c r="H155" s="6">
        <v>70000</v>
      </c>
      <c r="I155" s="6" t="s">
        <v>23</v>
      </c>
      <c r="J155" s="6">
        <v>12000</v>
      </c>
      <c r="K155" s="6">
        <v>700</v>
      </c>
      <c r="L155" s="6" t="s">
        <v>24</v>
      </c>
      <c r="M155" s="6" t="s">
        <v>81</v>
      </c>
      <c r="N155" s="6" t="s">
        <v>18</v>
      </c>
      <c r="O155" s="5">
        <v>5</v>
      </c>
      <c r="P155">
        <v>5.833333333333333</v>
      </c>
      <c r="Q155" t="b">
        <v>1</v>
      </c>
      <c r="R155" s="5" t="str">
        <v>Odd</v>
      </c>
      <c r="S155">
        <f t="shared" si="7"/>
        <v>83</v>
      </c>
      <c r="T155" t="str">
        <v>Good</v>
      </c>
      <c r="U155" t="str">
        <v/>
      </c>
      <c r="V155" t="b">
        <v>0</v>
      </c>
      <c r="W155" t="str" cm="1">
        <f t="array" ref="W155">IF(AND(D155:D503&gt;40, K155:K503&lt;300, H155:H503&lt;8000), "Not Eligible", "Eligible")</f>
        <v>Eligible</v>
      </c>
      <c r="X155" t="str">
        <f t="shared" si="8"/>
        <v>Good</v>
      </c>
      <c r="Y155" t="str">
        <f t="shared" si="9"/>
        <v>In Progress</v>
      </c>
      <c r="Z155" t="b">
        <v>0</v>
      </c>
    </row>
    <row r="156" spans="1:26" x14ac:dyDescent="0.3">
      <c r="A156" s="5">
        <f t="shared" si="10"/>
        <v>155</v>
      </c>
      <c r="B156" s="7" t="s">
        <v>226</v>
      </c>
      <c r="C156" s="7" t="s">
        <v>227</v>
      </c>
      <c r="D156" s="6">
        <v>31</v>
      </c>
      <c r="E156" s="6" t="s">
        <v>21</v>
      </c>
      <c r="F156" s="6" t="s">
        <v>15</v>
      </c>
      <c r="G156" s="6">
        <v>5000</v>
      </c>
      <c r="H156" s="6">
        <v>56000</v>
      </c>
      <c r="I156" s="6" t="s">
        <v>16</v>
      </c>
      <c r="J156" s="6">
        <v>0</v>
      </c>
      <c r="K156" s="6">
        <v>680</v>
      </c>
      <c r="L156" s="6" t="s">
        <v>28</v>
      </c>
      <c r="M156" s="6" t="s">
        <v>82</v>
      </c>
      <c r="N156" s="6" t="s">
        <v>25</v>
      </c>
      <c r="O156" s="5">
        <v>10</v>
      </c>
      <c r="P156" t="e">
        <v>#DIV/0!</v>
      </c>
      <c r="Q156" t="b">
        <v>0</v>
      </c>
      <c r="R156" s="5" t="str">
        <v>Odd</v>
      </c>
      <c r="S156">
        <f t="shared" si="7"/>
        <v>142</v>
      </c>
      <c r="T156" t="str">
        <v/>
      </c>
      <c r="U156" t="str">
        <v>Bad</v>
      </c>
      <c r="V156" t="b">
        <v>0</v>
      </c>
      <c r="W156" t="str" cm="1">
        <f t="array" ref="W156">IF(AND(D156:D504&gt;40, K156:K504&lt;300, H156:H504&lt;8000), "Not Eligible", "Eligible")</f>
        <v>Eligible</v>
      </c>
      <c r="X156" t="str">
        <f t="shared" si="8"/>
        <v>Bad</v>
      </c>
      <c r="Y156" t="str">
        <f t="shared" si="9"/>
        <v/>
      </c>
      <c r="Z156" t="b">
        <v>1</v>
      </c>
    </row>
    <row r="157" spans="1:26" x14ac:dyDescent="0.3">
      <c r="A157" s="5">
        <f t="shared" si="10"/>
        <v>156</v>
      </c>
      <c r="B157" s="7" t="s">
        <v>228</v>
      </c>
      <c r="C157" s="7" t="s">
        <v>229</v>
      </c>
      <c r="D157" s="6">
        <v>28</v>
      </c>
      <c r="E157" s="6" t="s">
        <v>14</v>
      </c>
      <c r="F157" s="6" t="s">
        <v>22</v>
      </c>
      <c r="G157" s="6">
        <v>2000</v>
      </c>
      <c r="H157" s="6">
        <v>47000</v>
      </c>
      <c r="I157" s="6" t="s">
        <v>23</v>
      </c>
      <c r="J157" s="6">
        <v>5000</v>
      </c>
      <c r="K157" s="6">
        <v>690</v>
      </c>
      <c r="L157" s="6" t="s">
        <v>31</v>
      </c>
      <c r="M157" s="6" t="s">
        <v>82</v>
      </c>
      <c r="N157" s="6" t="s">
        <v>18</v>
      </c>
      <c r="O157" s="5">
        <v>10</v>
      </c>
      <c r="P157">
        <v>9.4</v>
      </c>
      <c r="Q157" t="b">
        <v>1</v>
      </c>
      <c r="R157" s="5" t="str">
        <v>Even</v>
      </c>
      <c r="S157">
        <f t="shared" si="7"/>
        <v>109</v>
      </c>
      <c r="T157" t="str">
        <v>Good</v>
      </c>
      <c r="U157" t="str">
        <v/>
      </c>
      <c r="V157" t="b">
        <v>0</v>
      </c>
      <c r="W157" t="str" cm="1">
        <f t="array" ref="W157">IF(AND(D157:D505&gt;40, K157:K505&lt;300, H157:H505&lt;8000), "Not Eligible", "Eligible")</f>
        <v>Eligible</v>
      </c>
      <c r="X157" t="str">
        <f t="shared" si="8"/>
        <v>Bad</v>
      </c>
      <c r="Y157" t="str">
        <f t="shared" si="9"/>
        <v>In Progress</v>
      </c>
      <c r="Z157" t="b">
        <v>0</v>
      </c>
    </row>
    <row r="158" spans="1:26" x14ac:dyDescent="0.3">
      <c r="A158" s="5">
        <f t="shared" si="10"/>
        <v>157</v>
      </c>
      <c r="B158" s="7" t="s">
        <v>70</v>
      </c>
      <c r="C158" s="7" t="s">
        <v>230</v>
      </c>
      <c r="D158" s="6">
        <v>40</v>
      </c>
      <c r="E158" s="6" t="s">
        <v>21</v>
      </c>
      <c r="F158" s="6" t="s">
        <v>15</v>
      </c>
      <c r="G158" s="6">
        <v>7000</v>
      </c>
      <c r="H158" s="6">
        <v>68000</v>
      </c>
      <c r="I158" s="6" t="s">
        <v>16</v>
      </c>
      <c r="J158" s="6">
        <v>0</v>
      </c>
      <c r="K158" s="6">
        <v>710</v>
      </c>
      <c r="L158" s="6" t="s">
        <v>17</v>
      </c>
      <c r="M158" s="6" t="s">
        <v>82</v>
      </c>
      <c r="N158" s="6" t="s">
        <v>25</v>
      </c>
      <c r="O158" s="5">
        <v>7</v>
      </c>
      <c r="P158" t="e">
        <v>#DIV/0!</v>
      </c>
      <c r="Q158" t="b">
        <v>0</v>
      </c>
      <c r="R158" s="5" t="str">
        <v>Even</v>
      </c>
      <c r="S158">
        <f t="shared" si="7"/>
        <v>54</v>
      </c>
      <c r="T158" t="str">
        <v/>
      </c>
      <c r="U158" t="str">
        <v>Bad</v>
      </c>
      <c r="V158" t="b">
        <v>0</v>
      </c>
      <c r="W158" t="str" cm="1">
        <f t="array" ref="W158">IF(AND(D158:D506&gt;40, K158:K506&lt;300, H158:H506&lt;8000), "Not Eligible", "Eligible")</f>
        <v>Eligible</v>
      </c>
      <c r="X158" t="str">
        <f t="shared" si="8"/>
        <v>Bad</v>
      </c>
      <c r="Y158" t="str">
        <f t="shared" si="9"/>
        <v/>
      </c>
      <c r="Z158" t="b">
        <v>1</v>
      </c>
    </row>
    <row r="159" spans="1:26" x14ac:dyDescent="0.3">
      <c r="A159" s="5">
        <f t="shared" si="10"/>
        <v>158</v>
      </c>
      <c r="B159" s="7" t="s">
        <v>36</v>
      </c>
      <c r="C159" s="7" t="s">
        <v>231</v>
      </c>
      <c r="D159" s="6">
        <v>36</v>
      </c>
      <c r="E159" s="6" t="s">
        <v>14</v>
      </c>
      <c r="F159" s="6" t="s">
        <v>22</v>
      </c>
      <c r="G159" s="6">
        <v>3000</v>
      </c>
      <c r="H159" s="6">
        <v>49000</v>
      </c>
      <c r="I159" s="6" t="s">
        <v>23</v>
      </c>
      <c r="J159" s="6">
        <v>6000</v>
      </c>
      <c r="K159" s="6">
        <v>700</v>
      </c>
      <c r="L159" s="6" t="s">
        <v>24</v>
      </c>
      <c r="M159" s="6" t="s">
        <v>80</v>
      </c>
      <c r="N159" s="6" t="s">
        <v>18</v>
      </c>
      <c r="O159" s="5">
        <v>5</v>
      </c>
      <c r="P159">
        <v>8.1666666666666661</v>
      </c>
      <c r="Q159" t="b">
        <v>1</v>
      </c>
      <c r="R159" s="5" t="str">
        <v>Even</v>
      </c>
      <c r="S159">
        <f t="shared" si="7"/>
        <v>82</v>
      </c>
      <c r="T159" t="str">
        <v>Good</v>
      </c>
      <c r="U159" t="str">
        <v/>
      </c>
      <c r="V159" t="b">
        <v>0</v>
      </c>
      <c r="W159" t="str" cm="1">
        <f t="array" ref="W159">IF(AND(D159:D507&gt;40, K159:K507&lt;300, H159:H507&lt;8000), "Not Eligible", "Eligible")</f>
        <v>Eligible</v>
      </c>
      <c r="X159" t="str">
        <f t="shared" si="8"/>
        <v>Good</v>
      </c>
      <c r="Y159" t="str">
        <f t="shared" si="9"/>
        <v>In Progress</v>
      </c>
      <c r="Z159" t="b">
        <v>0</v>
      </c>
    </row>
    <row r="160" spans="1:26" x14ac:dyDescent="0.3">
      <c r="A160" s="5">
        <f t="shared" si="10"/>
        <v>159</v>
      </c>
      <c r="B160" s="7" t="s">
        <v>232</v>
      </c>
      <c r="C160" s="7" t="s">
        <v>233</v>
      </c>
      <c r="D160" s="6">
        <v>29</v>
      </c>
      <c r="E160" s="6" t="s">
        <v>21</v>
      </c>
      <c r="F160" s="6" t="s">
        <v>15</v>
      </c>
      <c r="G160" s="6">
        <v>2000</v>
      </c>
      <c r="H160" s="6">
        <v>45000</v>
      </c>
      <c r="I160" s="6" t="s">
        <v>16</v>
      </c>
      <c r="J160" s="6">
        <v>0</v>
      </c>
      <c r="K160" s="6">
        <v>670</v>
      </c>
      <c r="L160" s="6" t="s">
        <v>28</v>
      </c>
      <c r="M160" s="6" t="s">
        <v>80</v>
      </c>
      <c r="N160" s="6" t="s">
        <v>25</v>
      </c>
      <c r="O160" s="5">
        <v>15</v>
      </c>
      <c r="P160" t="e">
        <v>#DIV/0!</v>
      </c>
      <c r="Q160" t="b">
        <v>0</v>
      </c>
      <c r="R160" s="5" t="str">
        <v>Odd</v>
      </c>
      <c r="S160">
        <f t="shared" si="7"/>
        <v>174</v>
      </c>
      <c r="T160" t="str">
        <v/>
      </c>
      <c r="U160" t="str">
        <v>Bad</v>
      </c>
      <c r="V160" t="b">
        <v>0</v>
      </c>
      <c r="W160" t="str" cm="1">
        <f t="array" ref="W160">IF(AND(D160:D508&gt;40, K160:K508&lt;300, H160:H508&lt;8000), "Not Eligible", "Eligible")</f>
        <v>Eligible</v>
      </c>
      <c r="X160" t="str">
        <f t="shared" si="8"/>
        <v>Bad</v>
      </c>
      <c r="Y160" t="str">
        <f t="shared" si="9"/>
        <v/>
      </c>
      <c r="Z160" t="b">
        <v>1</v>
      </c>
    </row>
    <row r="161" spans="1:26" x14ac:dyDescent="0.3">
      <c r="A161" s="5">
        <f t="shared" si="10"/>
        <v>160</v>
      </c>
      <c r="B161" s="7" t="s">
        <v>234</v>
      </c>
      <c r="C161" s="7" t="s">
        <v>235</v>
      </c>
      <c r="D161" s="6">
        <v>38</v>
      </c>
      <c r="E161" s="6" t="s">
        <v>14</v>
      </c>
      <c r="F161" s="6" t="s">
        <v>22</v>
      </c>
      <c r="G161" s="6">
        <v>6000</v>
      </c>
      <c r="H161" s="6">
        <v>71000</v>
      </c>
      <c r="I161" s="6" t="s">
        <v>23</v>
      </c>
      <c r="J161" s="6">
        <v>12000</v>
      </c>
      <c r="K161" s="6">
        <v>720</v>
      </c>
      <c r="L161" s="6" t="s">
        <v>31</v>
      </c>
      <c r="M161" s="6" t="s">
        <v>80</v>
      </c>
      <c r="N161" s="6" t="s">
        <v>18</v>
      </c>
      <c r="O161" s="5">
        <v>4</v>
      </c>
      <c r="P161">
        <v>5.916666666666667</v>
      </c>
      <c r="Q161" t="b">
        <v>1</v>
      </c>
      <c r="R161" s="5" t="str">
        <v>Even</v>
      </c>
      <c r="S161">
        <f t="shared" si="7"/>
        <v>16</v>
      </c>
      <c r="T161" t="str">
        <v>Good</v>
      </c>
      <c r="U161" t="str">
        <v/>
      </c>
      <c r="V161" t="b">
        <v>0</v>
      </c>
      <c r="W161" t="str" cm="1">
        <f t="array" ref="W161">IF(AND(D161:D509&gt;40, K161:K509&lt;300, H161:H509&lt;8000), "Not Eligible", "Eligible")</f>
        <v>Eligible</v>
      </c>
      <c r="X161" t="str">
        <f t="shared" si="8"/>
        <v>Good</v>
      </c>
      <c r="Y161" t="str">
        <f t="shared" si="9"/>
        <v>In Progress</v>
      </c>
      <c r="Z161" t="b">
        <v>0</v>
      </c>
    </row>
    <row r="162" spans="1:26" x14ac:dyDescent="0.3">
      <c r="A162" s="5">
        <f t="shared" si="10"/>
        <v>161</v>
      </c>
      <c r="B162" s="7" t="s">
        <v>236</v>
      </c>
      <c r="C162" s="7" t="s">
        <v>237</v>
      </c>
      <c r="D162" s="6">
        <v>34</v>
      </c>
      <c r="E162" s="6" t="s">
        <v>14</v>
      </c>
      <c r="F162" s="6" t="s">
        <v>15</v>
      </c>
      <c r="G162" s="6">
        <v>2500</v>
      </c>
      <c r="H162" s="6">
        <v>55000</v>
      </c>
      <c r="I162" s="6" t="s">
        <v>16</v>
      </c>
      <c r="J162" s="6">
        <v>0</v>
      </c>
      <c r="K162" s="6">
        <v>720</v>
      </c>
      <c r="L162" s="6" t="s">
        <v>17</v>
      </c>
      <c r="M162" s="6" t="s">
        <v>80</v>
      </c>
      <c r="N162" s="6" t="s">
        <v>18</v>
      </c>
      <c r="O162" s="5">
        <v>15</v>
      </c>
      <c r="P162" t="e">
        <v>#DIV/0!</v>
      </c>
      <c r="Q162" t="b">
        <v>0</v>
      </c>
      <c r="R162" s="5" t="str">
        <v>Even</v>
      </c>
      <c r="S162">
        <f t="shared" si="7"/>
        <v>16</v>
      </c>
      <c r="T162" t="str">
        <v>Good</v>
      </c>
      <c r="U162" t="str">
        <v/>
      </c>
      <c r="V162" t="b">
        <v>0</v>
      </c>
      <c r="W162" t="str" cm="1">
        <f t="array" ref="W162">IF(AND(D162:D510&gt;40, K162:K510&lt;300, H162:H510&lt;8000), "Not Eligible", "Eligible")</f>
        <v>Eligible</v>
      </c>
      <c r="X162" t="str">
        <f t="shared" si="8"/>
        <v>Good</v>
      </c>
      <c r="Y162" t="str">
        <f t="shared" si="9"/>
        <v>In Progress</v>
      </c>
      <c r="Z162" t="b">
        <v>1</v>
      </c>
    </row>
    <row r="163" spans="1:26" x14ac:dyDescent="0.3">
      <c r="A163" s="5">
        <f t="shared" si="10"/>
        <v>162</v>
      </c>
      <c r="B163" s="7" t="s">
        <v>238</v>
      </c>
      <c r="C163" s="7" t="s">
        <v>239</v>
      </c>
      <c r="D163" s="6">
        <v>29</v>
      </c>
      <c r="E163" s="6" t="s">
        <v>21</v>
      </c>
      <c r="F163" s="6" t="s">
        <v>22</v>
      </c>
      <c r="G163" s="6">
        <v>8000</v>
      </c>
      <c r="H163" s="6">
        <v>62000</v>
      </c>
      <c r="I163" s="6" t="s">
        <v>23</v>
      </c>
      <c r="J163" s="6">
        <v>15000</v>
      </c>
      <c r="K163" s="6">
        <v>680</v>
      </c>
      <c r="L163" s="6" t="s">
        <v>24</v>
      </c>
      <c r="M163" s="6" t="s">
        <v>81</v>
      </c>
      <c r="N163" s="6" t="s">
        <v>25</v>
      </c>
      <c r="O163" s="5" t="s">
        <v>319</v>
      </c>
      <c r="P163">
        <v>4.1333333333333337</v>
      </c>
      <c r="Q163" t="b">
        <v>1</v>
      </c>
      <c r="R163" s="5" t="str">
        <v>Odd</v>
      </c>
      <c r="S163">
        <f t="shared" si="7"/>
        <v>137</v>
      </c>
      <c r="T163" t="str">
        <v/>
      </c>
      <c r="U163" t="str">
        <v>Bad</v>
      </c>
      <c r="V163" t="b">
        <v>1</v>
      </c>
      <c r="W163" t="str" cm="1">
        <f t="array" ref="W163">IF(AND(D163:D511&gt;40, K163:K511&lt;300, H163:H511&lt;8000), "Not Eligible", "Eligible")</f>
        <v>Eligible</v>
      </c>
      <c r="X163" t="str">
        <f t="shared" si="8"/>
        <v>Bad</v>
      </c>
      <c r="Y163" t="str">
        <f t="shared" si="9"/>
        <v/>
      </c>
      <c r="Z163" t="b">
        <v>0</v>
      </c>
    </row>
    <row r="164" spans="1:26" x14ac:dyDescent="0.3">
      <c r="A164" s="5">
        <f t="shared" si="10"/>
        <v>163</v>
      </c>
      <c r="B164" s="7" t="s">
        <v>63</v>
      </c>
      <c r="C164" s="7" t="s">
        <v>240</v>
      </c>
      <c r="D164" s="6">
        <v>45</v>
      </c>
      <c r="E164" s="6" t="s">
        <v>21</v>
      </c>
      <c r="F164" s="6" t="s">
        <v>15</v>
      </c>
      <c r="G164" s="6">
        <v>12000</v>
      </c>
      <c r="H164" s="6">
        <v>75000</v>
      </c>
      <c r="I164" s="6" t="s">
        <v>16</v>
      </c>
      <c r="J164" s="6">
        <v>0</v>
      </c>
      <c r="K164" s="6">
        <v>750</v>
      </c>
      <c r="L164" s="6" t="s">
        <v>28</v>
      </c>
      <c r="M164" s="6" t="s">
        <v>82</v>
      </c>
      <c r="N164" s="6" t="s">
        <v>18</v>
      </c>
      <c r="O164" s="5">
        <v>14</v>
      </c>
      <c r="P164" t="e">
        <v>#DIV/0!</v>
      </c>
      <c r="Q164" t="b">
        <v>0</v>
      </c>
      <c r="R164" s="5" t="str">
        <v>Odd</v>
      </c>
      <c r="S164">
        <f t="shared" si="7"/>
        <v>1</v>
      </c>
      <c r="T164" t="str">
        <v>Good</v>
      </c>
      <c r="U164" t="str">
        <v/>
      </c>
      <c r="V164" t="b">
        <v>0</v>
      </c>
      <c r="W164" t="str" cm="1">
        <f t="array" ref="W164">IF(AND(D164:D512&gt;40, K164:K512&lt;300, H164:H512&lt;8000), "Not Eligible", "Eligible")</f>
        <v>Eligible</v>
      </c>
      <c r="X164" t="str">
        <f t="shared" si="8"/>
        <v>Bad</v>
      </c>
      <c r="Y164" t="str">
        <f t="shared" si="9"/>
        <v>In Progress</v>
      </c>
      <c r="Z164" t="b">
        <v>1</v>
      </c>
    </row>
    <row r="165" spans="1:26" x14ac:dyDescent="0.3">
      <c r="A165" s="5">
        <f t="shared" si="10"/>
        <v>164</v>
      </c>
      <c r="B165" s="7" t="s">
        <v>241</v>
      </c>
      <c r="C165" s="7" t="s">
        <v>242</v>
      </c>
      <c r="D165" s="6">
        <v>52</v>
      </c>
      <c r="E165" s="6" t="s">
        <v>14</v>
      </c>
      <c r="F165" s="6" t="s">
        <v>22</v>
      </c>
      <c r="G165" s="6">
        <v>3000</v>
      </c>
      <c r="H165" s="6">
        <v>48000</v>
      </c>
      <c r="I165" s="6" t="s">
        <v>23</v>
      </c>
      <c r="J165" s="6">
        <v>5000</v>
      </c>
      <c r="K165" s="6">
        <v>690</v>
      </c>
      <c r="L165" s="6" t="s">
        <v>31</v>
      </c>
      <c r="M165" s="6" t="s">
        <v>80</v>
      </c>
      <c r="N165" s="6" t="s">
        <v>18</v>
      </c>
      <c r="O165" s="5">
        <v>8</v>
      </c>
      <c r="P165">
        <v>9.6</v>
      </c>
      <c r="Q165" t="b">
        <v>1</v>
      </c>
      <c r="R165" s="5" t="str">
        <v>Even</v>
      </c>
      <c r="S165">
        <f t="shared" si="7"/>
        <v>104</v>
      </c>
      <c r="T165" t="str">
        <v>Good</v>
      </c>
      <c r="U165" t="str">
        <v/>
      </c>
      <c r="V165" t="b">
        <v>0</v>
      </c>
      <c r="W165" t="str" cm="1">
        <f t="array" ref="W165">IF(AND(D165:D513&gt;40, K165:K513&lt;300, H165:H513&lt;8000), "Not Eligible", "Eligible")</f>
        <v>Eligible</v>
      </c>
      <c r="X165" t="str">
        <f t="shared" si="8"/>
        <v>Good</v>
      </c>
      <c r="Y165" t="str">
        <f t="shared" si="9"/>
        <v>In Progress</v>
      </c>
      <c r="Z165" t="b">
        <v>0</v>
      </c>
    </row>
    <row r="166" spans="1:26" x14ac:dyDescent="0.3">
      <c r="A166" s="5">
        <f t="shared" si="10"/>
        <v>165</v>
      </c>
      <c r="B166" s="7" t="s">
        <v>243</v>
      </c>
      <c r="C166" s="7" t="s">
        <v>244</v>
      </c>
      <c r="D166" s="6">
        <v>37</v>
      </c>
      <c r="E166" s="6" t="s">
        <v>21</v>
      </c>
      <c r="F166" s="6" t="s">
        <v>15</v>
      </c>
      <c r="G166" s="6">
        <v>5000</v>
      </c>
      <c r="H166" s="6">
        <v>58000</v>
      </c>
      <c r="I166" s="6" t="s">
        <v>16</v>
      </c>
      <c r="J166" s="6">
        <v>0</v>
      </c>
      <c r="K166" s="6">
        <v>710</v>
      </c>
      <c r="L166" s="6" t="s">
        <v>17</v>
      </c>
      <c r="M166" s="6" t="s">
        <v>80</v>
      </c>
      <c r="N166" s="6" t="s">
        <v>25</v>
      </c>
      <c r="O166" s="5">
        <v>15</v>
      </c>
      <c r="P166" t="e">
        <v>#DIV/0!</v>
      </c>
      <c r="Q166" t="b">
        <v>0</v>
      </c>
      <c r="R166" s="5" t="str">
        <v>Odd</v>
      </c>
      <c r="S166">
        <f t="shared" si="7"/>
        <v>51</v>
      </c>
      <c r="T166" t="str">
        <v/>
      </c>
      <c r="U166" t="str">
        <v>Bad</v>
      </c>
      <c r="V166" t="b">
        <v>0</v>
      </c>
      <c r="W166" t="str" cm="1">
        <f t="array" ref="W166">IF(AND(D166:D514&gt;40, K166:K514&lt;300, H166:H514&lt;8000), "Not Eligible", "Eligible")</f>
        <v>Eligible</v>
      </c>
      <c r="X166" t="str">
        <f t="shared" si="8"/>
        <v>Bad</v>
      </c>
      <c r="Y166" t="str">
        <f t="shared" si="9"/>
        <v/>
      </c>
      <c r="Z166" t="b">
        <v>1</v>
      </c>
    </row>
    <row r="167" spans="1:26" x14ac:dyDescent="0.3">
      <c r="A167" s="5">
        <f t="shared" si="10"/>
        <v>166</v>
      </c>
      <c r="B167" s="7" t="s">
        <v>245</v>
      </c>
      <c r="C167" s="7" t="s">
        <v>246</v>
      </c>
      <c r="D167" s="6">
        <v>30</v>
      </c>
      <c r="E167" s="6" t="s">
        <v>14</v>
      </c>
      <c r="F167" s="6" t="s">
        <v>22</v>
      </c>
      <c r="G167" s="6">
        <v>6000</v>
      </c>
      <c r="H167" s="6">
        <v>70000</v>
      </c>
      <c r="I167" s="6" t="s">
        <v>23</v>
      </c>
      <c r="J167" s="6">
        <v>20000</v>
      </c>
      <c r="K167" s="6">
        <v>700</v>
      </c>
      <c r="L167" s="6" t="s">
        <v>24</v>
      </c>
      <c r="M167" s="6" t="s">
        <v>80</v>
      </c>
      <c r="N167" s="6" t="s">
        <v>18</v>
      </c>
      <c r="O167" s="5">
        <v>9</v>
      </c>
      <c r="P167">
        <v>3.5</v>
      </c>
      <c r="Q167" t="b">
        <v>1</v>
      </c>
      <c r="R167" s="5" t="str">
        <v>Even</v>
      </c>
      <c r="S167">
        <f t="shared" si="7"/>
        <v>78</v>
      </c>
      <c r="T167" t="str">
        <v>Good</v>
      </c>
      <c r="U167" t="str">
        <v/>
      </c>
      <c r="V167" t="b">
        <v>0</v>
      </c>
      <c r="W167" t="str" cm="1">
        <f t="array" ref="W167">IF(AND(D167:D515&gt;40, K167:K515&lt;300, H167:H515&lt;8000), "Not Eligible", "Eligible")</f>
        <v>Eligible</v>
      </c>
      <c r="X167" t="str">
        <f t="shared" si="8"/>
        <v>Good</v>
      </c>
      <c r="Y167" t="str">
        <f t="shared" si="9"/>
        <v>In Progress</v>
      </c>
      <c r="Z167" t="b">
        <v>0</v>
      </c>
    </row>
    <row r="168" spans="1:26" x14ac:dyDescent="0.3">
      <c r="A168" s="5">
        <f t="shared" si="10"/>
        <v>167</v>
      </c>
      <c r="B168" s="7" t="s">
        <v>247</v>
      </c>
      <c r="C168" s="7" t="s">
        <v>248</v>
      </c>
      <c r="D168" s="6">
        <v>40</v>
      </c>
      <c r="E168" s="6" t="s">
        <v>21</v>
      </c>
      <c r="F168" s="6" t="s">
        <v>15</v>
      </c>
      <c r="G168" s="6">
        <v>15000</v>
      </c>
      <c r="H168" s="6">
        <v>82000</v>
      </c>
      <c r="I168" s="6" t="s">
        <v>16</v>
      </c>
      <c r="J168" s="6">
        <v>0</v>
      </c>
      <c r="K168" s="6">
        <v>730</v>
      </c>
      <c r="L168" s="6" t="s">
        <v>28</v>
      </c>
      <c r="M168" s="6" t="s">
        <v>80</v>
      </c>
      <c r="N168" s="6" t="s">
        <v>25</v>
      </c>
      <c r="O168" s="5">
        <v>4</v>
      </c>
      <c r="P168" t="e">
        <v>#DIV/0!</v>
      </c>
      <c r="Q168" t="b">
        <v>0</v>
      </c>
      <c r="R168" s="5" t="str">
        <v>Even</v>
      </c>
      <c r="S168">
        <f t="shared" si="7"/>
        <v>12</v>
      </c>
      <c r="T168" t="str">
        <v/>
      </c>
      <c r="U168" t="str">
        <v>Bad</v>
      </c>
      <c r="V168" t="b">
        <v>0</v>
      </c>
      <c r="W168" t="str" cm="1">
        <f t="array" ref="W168">IF(AND(D168:D516&gt;40, K168:K516&lt;300, H168:H516&lt;8000), "Not Eligible", "Eligible")</f>
        <v>Eligible</v>
      </c>
      <c r="X168" t="str">
        <f t="shared" si="8"/>
        <v>Bad</v>
      </c>
      <c r="Y168" t="str">
        <f t="shared" si="9"/>
        <v/>
      </c>
      <c r="Z168" t="b">
        <v>1</v>
      </c>
    </row>
    <row r="169" spans="1:26" x14ac:dyDescent="0.3">
      <c r="A169" s="5">
        <f t="shared" si="10"/>
        <v>168</v>
      </c>
      <c r="B169" s="7" t="s">
        <v>249</v>
      </c>
      <c r="C169" s="7" t="s">
        <v>250</v>
      </c>
      <c r="D169" s="6">
        <v>25</v>
      </c>
      <c r="E169" s="6" t="s">
        <v>14</v>
      </c>
      <c r="F169" s="6" t="s">
        <v>22</v>
      </c>
      <c r="G169" s="6">
        <v>2000</v>
      </c>
      <c r="H169" s="6">
        <v>43000</v>
      </c>
      <c r="I169" s="6" t="s">
        <v>16</v>
      </c>
      <c r="J169" s="6">
        <v>0</v>
      </c>
      <c r="K169" s="6">
        <v>670</v>
      </c>
      <c r="L169" s="6" t="s">
        <v>31</v>
      </c>
      <c r="M169" s="6" t="s">
        <v>81</v>
      </c>
      <c r="N169" s="6" t="s">
        <v>18</v>
      </c>
      <c r="O169" s="5">
        <v>13</v>
      </c>
      <c r="P169" t="e">
        <v>#DIV/0!</v>
      </c>
      <c r="Q169" t="b">
        <v>0</v>
      </c>
      <c r="R169" s="5" t="str">
        <v>Odd</v>
      </c>
      <c r="S169">
        <f t="shared" si="7"/>
        <v>166</v>
      </c>
      <c r="T169" t="str">
        <v>Good</v>
      </c>
      <c r="U169" t="str">
        <v/>
      </c>
      <c r="V169" t="b">
        <v>0</v>
      </c>
      <c r="W169" t="str" cm="1">
        <f t="array" ref="W169">IF(AND(D169:D517&gt;40, K169:K517&lt;300, H169:H517&lt;8000), "Not Eligible", "Eligible")</f>
        <v>Eligible</v>
      </c>
      <c r="X169" t="str">
        <f t="shared" si="8"/>
        <v>Bad</v>
      </c>
      <c r="Y169" t="str">
        <f t="shared" si="9"/>
        <v>In Progress</v>
      </c>
      <c r="Z169" t="b">
        <v>1</v>
      </c>
    </row>
    <row r="170" spans="1:26" x14ac:dyDescent="0.3">
      <c r="A170" s="5">
        <f t="shared" si="10"/>
        <v>169</v>
      </c>
      <c r="B170" s="7" t="s">
        <v>251</v>
      </c>
      <c r="C170" s="7" t="s">
        <v>252</v>
      </c>
      <c r="D170" s="6">
        <v>31</v>
      </c>
      <c r="E170" s="6" t="s">
        <v>21</v>
      </c>
      <c r="F170" s="6" t="s">
        <v>15</v>
      </c>
      <c r="G170" s="6">
        <v>7000</v>
      </c>
      <c r="H170" s="6">
        <v>55000</v>
      </c>
      <c r="I170" s="6" t="s">
        <v>23</v>
      </c>
      <c r="J170" s="6">
        <v>10000</v>
      </c>
      <c r="K170" s="6">
        <v>720</v>
      </c>
      <c r="L170" s="6" t="s">
        <v>17</v>
      </c>
      <c r="M170" s="6" t="s">
        <v>81</v>
      </c>
      <c r="N170" s="6" t="s">
        <v>18</v>
      </c>
      <c r="O170" s="5">
        <v>5</v>
      </c>
      <c r="P170">
        <v>5.5</v>
      </c>
      <c r="Q170" t="b">
        <v>1</v>
      </c>
      <c r="R170" s="5" t="str">
        <v>Odd</v>
      </c>
      <c r="S170">
        <f t="shared" si="7"/>
        <v>14</v>
      </c>
      <c r="T170" t="str">
        <v>Good</v>
      </c>
      <c r="U170" t="str">
        <v/>
      </c>
      <c r="V170" t="b">
        <v>0</v>
      </c>
      <c r="W170" t="str" cm="1">
        <f t="array" ref="W170">IF(AND(D170:D518&gt;40, K170:K518&lt;300, H170:H518&lt;8000), "Not Eligible", "Eligible")</f>
        <v>Eligible</v>
      </c>
      <c r="X170" t="str">
        <f t="shared" si="8"/>
        <v>Bad</v>
      </c>
      <c r="Y170" t="str">
        <f t="shared" si="9"/>
        <v>In Progress</v>
      </c>
      <c r="Z170" t="b">
        <v>0</v>
      </c>
    </row>
    <row r="171" spans="1:26" x14ac:dyDescent="0.3">
      <c r="A171" s="5">
        <f t="shared" si="10"/>
        <v>170</v>
      </c>
      <c r="B171" s="7" t="s">
        <v>253</v>
      </c>
      <c r="C171" s="7" t="s">
        <v>254</v>
      </c>
      <c r="D171" s="6">
        <v>44</v>
      </c>
      <c r="E171" s="6" t="s">
        <v>14</v>
      </c>
      <c r="F171" s="6" t="s">
        <v>22</v>
      </c>
      <c r="G171" s="6">
        <v>11000</v>
      </c>
      <c r="H171" s="6">
        <v>65000</v>
      </c>
      <c r="I171" s="6" t="s">
        <v>16</v>
      </c>
      <c r="J171" s="6">
        <v>0</v>
      </c>
      <c r="K171" s="6">
        <v>740</v>
      </c>
      <c r="L171" s="6" t="s">
        <v>24</v>
      </c>
      <c r="M171" s="6" t="s">
        <v>82</v>
      </c>
      <c r="N171" s="6" t="s">
        <v>25</v>
      </c>
      <c r="O171" s="5">
        <v>11</v>
      </c>
      <c r="P171" t="e">
        <v>#DIV/0!</v>
      </c>
      <c r="Q171" t="b">
        <v>0</v>
      </c>
      <c r="R171" s="5" t="str">
        <v>Even</v>
      </c>
      <c r="S171">
        <f t="shared" si="7"/>
        <v>3</v>
      </c>
      <c r="T171" t="str">
        <v/>
      </c>
      <c r="U171" t="str">
        <v>Bad</v>
      </c>
      <c r="V171" t="b">
        <v>0</v>
      </c>
      <c r="W171" t="str" cm="1">
        <f t="array" ref="W171">IF(AND(D171:D519&gt;40, K171:K519&lt;300, H171:H519&lt;8000), "Not Eligible", "Eligible")</f>
        <v>Eligible</v>
      </c>
      <c r="X171" t="str">
        <f t="shared" si="8"/>
        <v>Good</v>
      </c>
      <c r="Y171" t="str">
        <f t="shared" si="9"/>
        <v/>
      </c>
      <c r="Z171" t="b">
        <v>1</v>
      </c>
    </row>
    <row r="172" spans="1:26" x14ac:dyDescent="0.3">
      <c r="A172" s="5">
        <f t="shared" si="10"/>
        <v>171</v>
      </c>
      <c r="B172" s="7" t="s">
        <v>255</v>
      </c>
      <c r="C172" s="7" t="s">
        <v>256</v>
      </c>
      <c r="D172" s="6">
        <v>28</v>
      </c>
      <c r="E172" s="6" t="s">
        <v>21</v>
      </c>
      <c r="F172" s="6" t="s">
        <v>15</v>
      </c>
      <c r="G172" s="6">
        <v>4500</v>
      </c>
      <c r="H172" s="6">
        <v>47000</v>
      </c>
      <c r="I172" s="6" t="s">
        <v>16</v>
      </c>
      <c r="J172" s="6">
        <v>0</v>
      </c>
      <c r="K172" s="6">
        <v>690</v>
      </c>
      <c r="L172" s="6" t="s">
        <v>28</v>
      </c>
      <c r="M172" s="6" t="s">
        <v>80</v>
      </c>
      <c r="N172" s="6" t="s">
        <v>18</v>
      </c>
      <c r="O172" s="5">
        <v>4</v>
      </c>
      <c r="P172" t="e">
        <v>#DIV/0!</v>
      </c>
      <c r="Q172" t="b">
        <v>0</v>
      </c>
      <c r="R172" s="5" t="str">
        <v>Even</v>
      </c>
      <c r="S172">
        <f t="shared" si="7"/>
        <v>99</v>
      </c>
      <c r="T172" t="str">
        <v>Good</v>
      </c>
      <c r="U172" t="str">
        <v/>
      </c>
      <c r="V172" t="b">
        <v>0</v>
      </c>
      <c r="W172" t="str" cm="1">
        <f t="array" ref="W172">IF(AND(D172:D520&gt;40, K172:K520&lt;300, H172:H520&lt;8000), "Not Eligible", "Eligible")</f>
        <v>Eligible</v>
      </c>
      <c r="X172" t="str">
        <f t="shared" si="8"/>
        <v>Bad</v>
      </c>
      <c r="Y172" t="str">
        <f t="shared" si="9"/>
        <v>In Progress</v>
      </c>
      <c r="Z172" t="b">
        <v>1</v>
      </c>
    </row>
    <row r="173" spans="1:26" x14ac:dyDescent="0.3">
      <c r="A173" s="5">
        <f t="shared" si="10"/>
        <v>172</v>
      </c>
      <c r="B173" s="7" t="s">
        <v>257</v>
      </c>
      <c r="C173" s="7" t="s">
        <v>258</v>
      </c>
      <c r="D173" s="6">
        <v>39</v>
      </c>
      <c r="E173" s="6" t="s">
        <v>14</v>
      </c>
      <c r="F173" s="6" t="s">
        <v>22</v>
      </c>
      <c r="G173" s="6">
        <v>10000</v>
      </c>
      <c r="H173" s="6">
        <v>72000</v>
      </c>
      <c r="I173" s="6" t="s">
        <v>23</v>
      </c>
      <c r="J173" s="6">
        <v>12000</v>
      </c>
      <c r="K173" s="6">
        <v>700</v>
      </c>
      <c r="L173" s="6" t="s">
        <v>31</v>
      </c>
      <c r="M173" s="6" t="s">
        <v>82</v>
      </c>
      <c r="N173" s="6" t="s">
        <v>18</v>
      </c>
      <c r="O173" s="5">
        <v>14</v>
      </c>
      <c r="P173">
        <v>6</v>
      </c>
      <c r="Q173" t="b">
        <v>1</v>
      </c>
      <c r="R173" s="5" t="str">
        <v>Odd</v>
      </c>
      <c r="S173">
        <f t="shared" si="7"/>
        <v>75</v>
      </c>
      <c r="T173" t="str">
        <v>Good</v>
      </c>
      <c r="U173" t="str">
        <v/>
      </c>
      <c r="V173" t="b">
        <v>0</v>
      </c>
      <c r="W173" t="str" cm="1">
        <f t="array" ref="W173">IF(AND(D173:D521&gt;40, K173:K521&lt;300, H173:H521&lt;8000), "Not Eligible", "Eligible")</f>
        <v>Eligible</v>
      </c>
      <c r="X173" t="str">
        <f t="shared" si="8"/>
        <v>Good</v>
      </c>
      <c r="Y173" t="str">
        <f t="shared" si="9"/>
        <v>In Progress</v>
      </c>
      <c r="Z173" t="b">
        <v>0</v>
      </c>
    </row>
    <row r="174" spans="1:26" x14ac:dyDescent="0.3">
      <c r="A174" s="5">
        <f t="shared" si="10"/>
        <v>173</v>
      </c>
      <c r="B174" s="7" t="s">
        <v>62</v>
      </c>
      <c r="C174" s="7" t="s">
        <v>62</v>
      </c>
      <c r="D174" s="6">
        <v>26</v>
      </c>
      <c r="E174" s="6" t="s">
        <v>21</v>
      </c>
      <c r="F174" s="6" t="s">
        <v>15</v>
      </c>
      <c r="G174" s="6">
        <v>3500</v>
      </c>
      <c r="H174" s="6">
        <v>53000</v>
      </c>
      <c r="I174" s="6" t="s">
        <v>16</v>
      </c>
      <c r="J174" s="6">
        <v>0</v>
      </c>
      <c r="K174" s="6">
        <v>680</v>
      </c>
      <c r="L174" s="6" t="s">
        <v>17</v>
      </c>
      <c r="M174" s="6" t="s">
        <v>81</v>
      </c>
      <c r="N174" s="6" t="s">
        <v>25</v>
      </c>
      <c r="O174" s="5">
        <v>7</v>
      </c>
      <c r="P174" t="e">
        <v>#DIV/0!</v>
      </c>
      <c r="Q174" t="b">
        <v>0</v>
      </c>
      <c r="R174" s="5" t="str">
        <v>Even</v>
      </c>
      <c r="S174">
        <f t="shared" si="7"/>
        <v>128</v>
      </c>
      <c r="T174" t="str">
        <v/>
      </c>
      <c r="U174" t="str">
        <v>Bad</v>
      </c>
      <c r="V174" t="b">
        <v>0</v>
      </c>
      <c r="W174" t="str" cm="1">
        <f t="array" ref="W174">IF(AND(D174:D522&gt;40, K174:K522&lt;300, H174:H522&lt;8000), "Not Eligible", "Eligible")</f>
        <v>Eligible</v>
      </c>
      <c r="X174" t="str">
        <f t="shared" si="8"/>
        <v>Bad</v>
      </c>
      <c r="Y174" t="str">
        <f t="shared" si="9"/>
        <v/>
      </c>
      <c r="Z174" t="b">
        <v>1</v>
      </c>
    </row>
    <row r="175" spans="1:26" x14ac:dyDescent="0.3">
      <c r="A175" s="5">
        <f t="shared" si="10"/>
        <v>174</v>
      </c>
      <c r="B175" s="7" t="s">
        <v>259</v>
      </c>
      <c r="C175" s="7" t="s">
        <v>260</v>
      </c>
      <c r="D175" s="6">
        <v>33</v>
      </c>
      <c r="E175" s="6" t="s">
        <v>14</v>
      </c>
      <c r="F175" s="6" t="s">
        <v>22</v>
      </c>
      <c r="G175" s="6">
        <v>8000</v>
      </c>
      <c r="H175" s="6">
        <v>60000</v>
      </c>
      <c r="I175" s="6" t="s">
        <v>23</v>
      </c>
      <c r="J175" s="6">
        <v>8000</v>
      </c>
      <c r="K175" s="6">
        <v>710</v>
      </c>
      <c r="L175" s="6" t="s">
        <v>24</v>
      </c>
      <c r="M175" s="6" t="s">
        <v>80</v>
      </c>
      <c r="N175" s="6" t="s">
        <v>18</v>
      </c>
      <c r="O175" s="5">
        <v>6</v>
      </c>
      <c r="P175">
        <v>7.5</v>
      </c>
      <c r="Q175" t="b">
        <v>1</v>
      </c>
      <c r="R175" s="5" t="str">
        <v>Odd</v>
      </c>
      <c r="S175">
        <f t="shared" si="7"/>
        <v>48</v>
      </c>
      <c r="T175" t="str">
        <v>Good</v>
      </c>
      <c r="U175" t="str">
        <v/>
      </c>
      <c r="V175" t="b">
        <v>0</v>
      </c>
      <c r="W175" t="str" cm="1">
        <f t="array" ref="W175">IF(AND(D175:D523&gt;40, K175:K523&lt;300, H175:H523&lt;8000), "Not Eligible", "Eligible")</f>
        <v>Eligible</v>
      </c>
      <c r="X175" t="str">
        <f t="shared" si="8"/>
        <v>Good</v>
      </c>
      <c r="Y175" t="str">
        <f t="shared" si="9"/>
        <v>In Progress</v>
      </c>
      <c r="Z175" t="b">
        <v>0</v>
      </c>
    </row>
    <row r="176" spans="1:26" x14ac:dyDescent="0.3">
      <c r="A176" s="5">
        <f t="shared" si="10"/>
        <v>175</v>
      </c>
      <c r="B176" s="7" t="s">
        <v>261</v>
      </c>
      <c r="C176" s="7" t="s">
        <v>262</v>
      </c>
      <c r="D176" s="6">
        <v>46</v>
      </c>
      <c r="E176" s="6" t="s">
        <v>21</v>
      </c>
      <c r="F176" s="6" t="s">
        <v>15</v>
      </c>
      <c r="G176" s="6">
        <v>13000</v>
      </c>
      <c r="H176" s="6">
        <v>85000</v>
      </c>
      <c r="I176" s="6" t="s">
        <v>16</v>
      </c>
      <c r="J176" s="6">
        <v>0</v>
      </c>
      <c r="K176" s="6">
        <v>740</v>
      </c>
      <c r="L176" s="6" t="s">
        <v>28</v>
      </c>
      <c r="M176" s="6" t="s">
        <v>82</v>
      </c>
      <c r="N176" s="6" t="s">
        <v>25</v>
      </c>
      <c r="O176" s="5">
        <v>4</v>
      </c>
      <c r="P176" t="e">
        <v>#DIV/0!</v>
      </c>
      <c r="Q176" t="b">
        <v>0</v>
      </c>
      <c r="R176" s="5" t="str">
        <v>Even</v>
      </c>
      <c r="S176">
        <f t="shared" si="7"/>
        <v>3</v>
      </c>
      <c r="T176" t="str">
        <v/>
      </c>
      <c r="U176" t="str">
        <v>Bad</v>
      </c>
      <c r="V176" t="b">
        <v>0</v>
      </c>
      <c r="W176" t="str" cm="1">
        <f t="array" ref="W176">IF(AND(D176:D524&gt;40, K176:K524&lt;300, H176:H524&lt;8000), "Not Eligible", "Eligible")</f>
        <v>Eligible</v>
      </c>
      <c r="X176" t="str">
        <f t="shared" si="8"/>
        <v>Bad</v>
      </c>
      <c r="Y176" t="str">
        <f t="shared" si="9"/>
        <v/>
      </c>
      <c r="Z176" t="b">
        <v>1</v>
      </c>
    </row>
    <row r="177" spans="1:26" x14ac:dyDescent="0.3">
      <c r="A177" s="5">
        <f t="shared" si="10"/>
        <v>176</v>
      </c>
      <c r="B177" s="7" t="s">
        <v>263</v>
      </c>
      <c r="C177" s="7" t="s">
        <v>264</v>
      </c>
      <c r="D177" s="6">
        <v>52</v>
      </c>
      <c r="E177" s="6" t="s">
        <v>14</v>
      </c>
      <c r="F177" s="6" t="s">
        <v>22</v>
      </c>
      <c r="G177" s="6">
        <v>4000</v>
      </c>
      <c r="H177" s="6">
        <v>49000</v>
      </c>
      <c r="I177" s="6" t="s">
        <v>23</v>
      </c>
      <c r="J177" s="6">
        <v>7000</v>
      </c>
      <c r="K177" s="6">
        <v>690</v>
      </c>
      <c r="L177" s="6" t="s">
        <v>31</v>
      </c>
      <c r="M177" s="6" t="s">
        <v>80</v>
      </c>
      <c r="N177" s="6" t="s">
        <v>18</v>
      </c>
      <c r="O177" s="5">
        <v>7</v>
      </c>
      <c r="P177">
        <v>7</v>
      </c>
      <c r="Q177" t="b">
        <v>1</v>
      </c>
      <c r="R177" s="5" t="str">
        <v>Even</v>
      </c>
      <c r="S177">
        <f t="shared" si="7"/>
        <v>96</v>
      </c>
      <c r="T177" t="str">
        <v>Good</v>
      </c>
      <c r="U177" t="str">
        <v/>
      </c>
      <c r="V177" t="b">
        <v>0</v>
      </c>
      <c r="W177" t="str" cm="1">
        <f t="array" ref="W177">IF(AND(D177:D525&gt;40, K177:K525&lt;300, H177:H525&lt;8000), "Not Eligible", "Eligible")</f>
        <v>Eligible</v>
      </c>
      <c r="X177" t="str">
        <f t="shared" si="8"/>
        <v>Good</v>
      </c>
      <c r="Y177" t="str">
        <f t="shared" si="9"/>
        <v>In Progress</v>
      </c>
      <c r="Z177" t="b">
        <v>0</v>
      </c>
    </row>
    <row r="178" spans="1:26" x14ac:dyDescent="0.3">
      <c r="A178" s="5">
        <f t="shared" si="10"/>
        <v>177</v>
      </c>
      <c r="B178" s="7" t="s">
        <v>265</v>
      </c>
      <c r="C178" s="7" t="s">
        <v>266</v>
      </c>
      <c r="D178" s="6">
        <v>24</v>
      </c>
      <c r="E178" s="6" t="s">
        <v>14</v>
      </c>
      <c r="F178" s="6" t="s">
        <v>15</v>
      </c>
      <c r="G178" s="6">
        <v>2200</v>
      </c>
      <c r="H178" s="6">
        <v>45000</v>
      </c>
      <c r="I178" s="6" t="s">
        <v>16</v>
      </c>
      <c r="J178" s="6">
        <v>0</v>
      </c>
      <c r="K178" s="6">
        <v>670</v>
      </c>
      <c r="L178" s="6" t="s">
        <v>17</v>
      </c>
      <c r="M178" s="6" t="s">
        <v>81</v>
      </c>
      <c r="N178" s="6" t="s">
        <v>25</v>
      </c>
      <c r="O178" s="5">
        <v>13</v>
      </c>
      <c r="P178" t="e">
        <v>#DIV/0!</v>
      </c>
      <c r="Q178" t="b">
        <v>0</v>
      </c>
      <c r="R178" s="5" t="str">
        <v>Even</v>
      </c>
      <c r="S178">
        <f t="shared" si="7"/>
        <v>158</v>
      </c>
      <c r="T178" t="str">
        <v/>
      </c>
      <c r="U178" t="str">
        <v>Bad</v>
      </c>
      <c r="V178" t="b">
        <v>0</v>
      </c>
      <c r="W178" t="str" cm="1">
        <f t="array" ref="W178">IF(AND(D178:D526&gt;40, K178:K526&lt;300, H178:H526&lt;8000), "Not Eligible", "Eligible")</f>
        <v>Eligible</v>
      </c>
      <c r="X178" t="str">
        <f t="shared" si="8"/>
        <v>Good</v>
      </c>
      <c r="Y178" t="str">
        <f t="shared" si="9"/>
        <v/>
      </c>
      <c r="Z178" t="b">
        <v>1</v>
      </c>
    </row>
    <row r="179" spans="1:26" x14ac:dyDescent="0.3">
      <c r="A179" s="5">
        <f t="shared" si="10"/>
        <v>178</v>
      </c>
      <c r="B179" s="7" t="s">
        <v>267</v>
      </c>
      <c r="C179" s="7" t="s">
        <v>268</v>
      </c>
      <c r="D179" s="6">
        <v>38</v>
      </c>
      <c r="E179" s="6" t="s">
        <v>14</v>
      </c>
      <c r="F179" s="6" t="s">
        <v>22</v>
      </c>
      <c r="G179" s="6">
        <v>15000</v>
      </c>
      <c r="H179" s="6">
        <v>77000</v>
      </c>
      <c r="I179" s="6" t="s">
        <v>23</v>
      </c>
      <c r="J179" s="6">
        <v>15000</v>
      </c>
      <c r="K179" s="6">
        <v>720</v>
      </c>
      <c r="L179" s="6" t="s">
        <v>24</v>
      </c>
      <c r="M179" s="6" t="s">
        <v>82</v>
      </c>
      <c r="N179" s="6" t="s">
        <v>18</v>
      </c>
      <c r="O179" s="5">
        <v>4</v>
      </c>
      <c r="P179">
        <v>5.1333333333333337</v>
      </c>
      <c r="Q179" t="b">
        <v>1</v>
      </c>
      <c r="R179" s="5" t="str">
        <v>Even</v>
      </c>
      <c r="S179">
        <f t="shared" si="7"/>
        <v>12</v>
      </c>
      <c r="T179" t="str">
        <v>Good</v>
      </c>
      <c r="U179" t="str">
        <v/>
      </c>
      <c r="V179" t="b">
        <v>0</v>
      </c>
      <c r="W179" t="str" cm="1">
        <f t="array" ref="W179">IF(AND(D179:D527&gt;40, K179:K527&lt;300, H179:H527&lt;8000), "Not Eligible", "Eligible")</f>
        <v>Eligible</v>
      </c>
      <c r="X179" t="str">
        <f t="shared" si="8"/>
        <v>Good</v>
      </c>
      <c r="Y179" t="str">
        <f t="shared" si="9"/>
        <v>In Progress</v>
      </c>
      <c r="Z179" t="b">
        <v>0</v>
      </c>
    </row>
    <row r="180" spans="1:26" x14ac:dyDescent="0.3">
      <c r="A180" s="5">
        <f t="shared" si="10"/>
        <v>179</v>
      </c>
      <c r="B180" s="7" t="s">
        <v>269</v>
      </c>
      <c r="C180" s="7" t="s">
        <v>270</v>
      </c>
      <c r="D180" s="6">
        <v>27</v>
      </c>
      <c r="E180" s="6" t="s">
        <v>21</v>
      </c>
      <c r="F180" s="6" t="s">
        <v>15</v>
      </c>
      <c r="G180" s="6">
        <v>4000</v>
      </c>
      <c r="H180" s="6">
        <v>50000</v>
      </c>
      <c r="I180" s="6" t="s">
        <v>16</v>
      </c>
      <c r="J180" s="6">
        <v>0</v>
      </c>
      <c r="K180" s="6">
        <v>680</v>
      </c>
      <c r="L180" s="6" t="s">
        <v>28</v>
      </c>
      <c r="M180" s="6" t="s">
        <v>80</v>
      </c>
      <c r="N180" s="6" t="s">
        <v>25</v>
      </c>
      <c r="O180" s="5">
        <v>15</v>
      </c>
      <c r="P180" t="e">
        <v>#DIV/0!</v>
      </c>
      <c r="Q180" t="b">
        <v>0</v>
      </c>
      <c r="R180" s="5" t="str">
        <v>Odd</v>
      </c>
      <c r="S180">
        <f t="shared" si="7"/>
        <v>124</v>
      </c>
      <c r="T180" t="str">
        <v/>
      </c>
      <c r="U180" t="str">
        <v>Bad</v>
      </c>
      <c r="V180" t="b">
        <v>0</v>
      </c>
      <c r="W180" t="str" cm="1">
        <f t="array" ref="W180">IF(AND(D180:D528&gt;40, K180:K528&lt;300, H180:H528&lt;8000), "Not Eligible", "Eligible")</f>
        <v>Eligible</v>
      </c>
      <c r="X180" t="str">
        <f t="shared" si="8"/>
        <v>Bad</v>
      </c>
      <c r="Y180" t="str">
        <f t="shared" si="9"/>
        <v/>
      </c>
      <c r="Z180" t="b">
        <v>1</v>
      </c>
    </row>
    <row r="181" spans="1:26" x14ac:dyDescent="0.3">
      <c r="A181" s="5">
        <f t="shared" si="10"/>
        <v>180</v>
      </c>
      <c r="B181" s="7" t="s">
        <v>271</v>
      </c>
      <c r="C181" s="7" t="s">
        <v>272</v>
      </c>
      <c r="D181" s="6">
        <v>41</v>
      </c>
      <c r="E181" s="6" t="s">
        <v>14</v>
      </c>
      <c r="F181" s="6" t="s">
        <v>22</v>
      </c>
      <c r="G181" s="6">
        <v>9000</v>
      </c>
      <c r="H181" s="6">
        <v>69000</v>
      </c>
      <c r="I181" s="6" t="s">
        <v>23</v>
      </c>
      <c r="J181" s="6">
        <v>12000</v>
      </c>
      <c r="K181" s="6">
        <v>700</v>
      </c>
      <c r="L181" s="6" t="s">
        <v>31</v>
      </c>
      <c r="M181" s="6" t="s">
        <v>82</v>
      </c>
      <c r="N181" s="6" t="s">
        <v>18</v>
      </c>
      <c r="O181" s="5">
        <v>4</v>
      </c>
      <c r="P181">
        <v>5.75</v>
      </c>
      <c r="Q181" t="b">
        <v>1</v>
      </c>
      <c r="R181" s="5" t="str">
        <v>Odd</v>
      </c>
      <c r="S181">
        <f t="shared" si="7"/>
        <v>72</v>
      </c>
      <c r="T181" t="str">
        <v>Good</v>
      </c>
      <c r="U181" t="str">
        <v/>
      </c>
      <c r="V181" t="b">
        <v>0</v>
      </c>
      <c r="W181" t="str" cm="1">
        <f t="array" ref="W181">IF(AND(D181:D529&gt;40, K181:K529&lt;300, H181:H529&lt;8000), "Not Eligible", "Eligible")</f>
        <v>Eligible</v>
      </c>
      <c r="X181" t="str">
        <f t="shared" si="8"/>
        <v>Good</v>
      </c>
      <c r="Y181" t="str">
        <f t="shared" si="9"/>
        <v>In Progress</v>
      </c>
      <c r="Z181" t="b">
        <v>0</v>
      </c>
    </row>
    <row r="182" spans="1:26" x14ac:dyDescent="0.3">
      <c r="A182" s="5">
        <f t="shared" si="10"/>
        <v>181</v>
      </c>
      <c r="B182" s="7" t="s">
        <v>273</v>
      </c>
      <c r="C182" s="7" t="s">
        <v>207</v>
      </c>
      <c r="D182" s="6">
        <v>32</v>
      </c>
      <c r="E182" s="6" t="s">
        <v>21</v>
      </c>
      <c r="F182" s="6" t="s">
        <v>15</v>
      </c>
      <c r="G182" s="6">
        <v>5500</v>
      </c>
      <c r="H182" s="6">
        <v>54000</v>
      </c>
      <c r="I182" s="6" t="s">
        <v>16</v>
      </c>
      <c r="J182" s="6">
        <v>0</v>
      </c>
      <c r="K182" s="6">
        <v>710</v>
      </c>
      <c r="L182" s="6" t="s">
        <v>17</v>
      </c>
      <c r="M182" s="6" t="s">
        <v>80</v>
      </c>
      <c r="N182" s="6" t="s">
        <v>25</v>
      </c>
      <c r="O182" s="5">
        <v>15</v>
      </c>
      <c r="P182" t="e">
        <v>#DIV/0!</v>
      </c>
      <c r="Q182" t="b">
        <v>0</v>
      </c>
      <c r="R182" s="5" t="str">
        <v>Even</v>
      </c>
      <c r="S182">
        <f t="shared" si="7"/>
        <v>46</v>
      </c>
      <c r="T182" t="str">
        <v/>
      </c>
      <c r="U182" t="str">
        <v>Bad</v>
      </c>
      <c r="V182" t="b">
        <v>0</v>
      </c>
      <c r="W182" t="str" cm="1">
        <f t="array" ref="W182">IF(AND(D182:D530&gt;40, K182:K530&lt;300, H182:H530&lt;8000), "Not Eligible", "Eligible")</f>
        <v>Eligible</v>
      </c>
      <c r="X182" t="str">
        <f t="shared" si="8"/>
        <v>Bad</v>
      </c>
      <c r="Y182" t="str">
        <f t="shared" si="9"/>
        <v/>
      </c>
      <c r="Z182" t="b">
        <v>1</v>
      </c>
    </row>
    <row r="183" spans="1:26" x14ac:dyDescent="0.3">
      <c r="A183" s="5">
        <f t="shared" si="10"/>
        <v>182</v>
      </c>
      <c r="B183" s="7" t="s">
        <v>274</v>
      </c>
      <c r="C183" s="7" t="s">
        <v>250</v>
      </c>
      <c r="D183" s="6">
        <v>47</v>
      </c>
      <c r="E183" s="6" t="s">
        <v>14</v>
      </c>
      <c r="F183" s="6" t="s">
        <v>22</v>
      </c>
      <c r="G183" s="6">
        <v>7000</v>
      </c>
      <c r="H183" s="6">
        <v>74000</v>
      </c>
      <c r="I183" s="6" t="s">
        <v>23</v>
      </c>
      <c r="J183" s="6">
        <v>10000</v>
      </c>
      <c r="K183" s="6">
        <v>690</v>
      </c>
      <c r="L183" s="6" t="s">
        <v>24</v>
      </c>
      <c r="M183" s="6" t="s">
        <v>81</v>
      </c>
      <c r="N183" s="6" t="s">
        <v>18</v>
      </c>
      <c r="O183" s="5">
        <v>14</v>
      </c>
      <c r="P183">
        <v>7.4</v>
      </c>
      <c r="Q183" t="b">
        <v>1</v>
      </c>
      <c r="R183" s="5" t="str">
        <v>Odd</v>
      </c>
      <c r="S183">
        <f t="shared" si="7"/>
        <v>93</v>
      </c>
      <c r="T183" t="str">
        <v>Good</v>
      </c>
      <c r="U183" t="str">
        <v/>
      </c>
      <c r="V183" t="b">
        <v>0</v>
      </c>
      <c r="W183" t="str" cm="1">
        <f t="array" ref="W183">IF(AND(D183:D531&gt;40, K183:K531&lt;300, H183:H531&lt;8000), "Not Eligible", "Eligible")</f>
        <v>Eligible</v>
      </c>
      <c r="X183" t="str">
        <f t="shared" si="8"/>
        <v>Good</v>
      </c>
      <c r="Y183" t="str">
        <f t="shared" si="9"/>
        <v>In Progress</v>
      </c>
      <c r="Z183" t="b">
        <v>0</v>
      </c>
    </row>
    <row r="184" spans="1:26" x14ac:dyDescent="0.3">
      <c r="A184" s="5">
        <f t="shared" si="10"/>
        <v>183</v>
      </c>
      <c r="B184" s="7" t="s">
        <v>275</v>
      </c>
      <c r="C184" s="7" t="s">
        <v>27</v>
      </c>
      <c r="D184" s="6">
        <v>35</v>
      </c>
      <c r="E184" s="6" t="s">
        <v>21</v>
      </c>
      <c r="F184" s="6" t="s">
        <v>15</v>
      </c>
      <c r="G184" s="6">
        <v>6000</v>
      </c>
      <c r="H184" s="6">
        <v>68000</v>
      </c>
      <c r="I184" s="6" t="s">
        <v>16</v>
      </c>
      <c r="J184" s="6">
        <v>0</v>
      </c>
      <c r="K184" s="6">
        <v>720</v>
      </c>
      <c r="L184" s="6" t="s">
        <v>28</v>
      </c>
      <c r="M184" s="6" t="s">
        <v>81</v>
      </c>
      <c r="N184" s="6" t="s">
        <v>25</v>
      </c>
      <c r="O184" s="5">
        <v>10</v>
      </c>
      <c r="P184" t="e">
        <v>#DIV/0!</v>
      </c>
      <c r="Q184" t="b">
        <v>0</v>
      </c>
      <c r="R184" s="5" t="str">
        <v>Odd</v>
      </c>
      <c r="S184">
        <f t="shared" si="7"/>
        <v>12</v>
      </c>
      <c r="T184" t="str">
        <v/>
      </c>
      <c r="U184" t="str">
        <v>Bad</v>
      </c>
      <c r="V184" t="b">
        <v>0</v>
      </c>
      <c r="W184" t="str" cm="1">
        <f t="array" ref="W184">IF(AND(D184:D532&gt;40, K184:K532&lt;300, H184:H532&lt;8000), "Not Eligible", "Eligible")</f>
        <v>Eligible</v>
      </c>
      <c r="X184" t="str">
        <f t="shared" si="8"/>
        <v>Bad</v>
      </c>
      <c r="Y184" t="str">
        <f t="shared" si="9"/>
        <v/>
      </c>
      <c r="Z184" t="b">
        <v>1</v>
      </c>
    </row>
    <row r="185" spans="1:26" x14ac:dyDescent="0.3">
      <c r="A185" s="5">
        <f t="shared" si="10"/>
        <v>184</v>
      </c>
      <c r="B185" s="7" t="s">
        <v>247</v>
      </c>
      <c r="C185" s="7" t="s">
        <v>276</v>
      </c>
      <c r="D185" s="6">
        <v>29</v>
      </c>
      <c r="E185" s="6" t="s">
        <v>14</v>
      </c>
      <c r="F185" s="6" t="s">
        <v>22</v>
      </c>
      <c r="G185" s="6">
        <v>2500</v>
      </c>
      <c r="H185" s="6">
        <v>45000</v>
      </c>
      <c r="I185" s="6" t="s">
        <v>23</v>
      </c>
      <c r="J185" s="6">
        <v>5000</v>
      </c>
      <c r="K185" s="6">
        <v>670</v>
      </c>
      <c r="L185" s="6" t="s">
        <v>31</v>
      </c>
      <c r="M185" s="6" t="s">
        <v>81</v>
      </c>
      <c r="N185" s="6" t="s">
        <v>18</v>
      </c>
      <c r="O185" s="5">
        <v>14</v>
      </c>
      <c r="P185">
        <v>9</v>
      </c>
      <c r="Q185" t="b">
        <v>1</v>
      </c>
      <c r="R185" s="5" t="str">
        <v>Odd</v>
      </c>
      <c r="S185">
        <f t="shared" si="7"/>
        <v>152</v>
      </c>
      <c r="T185" t="str">
        <v>Good</v>
      </c>
      <c r="U185" t="str">
        <v/>
      </c>
      <c r="V185" t="b">
        <v>0</v>
      </c>
      <c r="W185" t="str" cm="1">
        <f t="array" ref="W185">IF(AND(D185:D533&gt;40, K185:K533&lt;300, H185:H533&lt;8000), "Not Eligible", "Eligible")</f>
        <v>Eligible</v>
      </c>
      <c r="X185" t="str">
        <f t="shared" si="8"/>
        <v>Good</v>
      </c>
      <c r="Y185" t="str">
        <f t="shared" si="9"/>
        <v>In Progress</v>
      </c>
      <c r="Z185" t="b">
        <v>0</v>
      </c>
    </row>
    <row r="186" spans="1:26" x14ac:dyDescent="0.3">
      <c r="A186" s="5">
        <f t="shared" si="10"/>
        <v>185</v>
      </c>
      <c r="B186" s="7" t="s">
        <v>277</v>
      </c>
      <c r="C186" s="7" t="s">
        <v>184</v>
      </c>
      <c r="D186" s="6">
        <v>42</v>
      </c>
      <c r="E186" s="6" t="s">
        <v>21</v>
      </c>
      <c r="F186" s="6" t="s">
        <v>15</v>
      </c>
      <c r="G186" s="6">
        <v>11000</v>
      </c>
      <c r="H186" s="6">
        <v>80000</v>
      </c>
      <c r="I186" s="6" t="s">
        <v>16</v>
      </c>
      <c r="J186" s="6">
        <v>0</v>
      </c>
      <c r="K186" s="6">
        <v>740</v>
      </c>
      <c r="L186" s="6" t="s">
        <v>17</v>
      </c>
      <c r="M186" s="6" t="s">
        <v>82</v>
      </c>
      <c r="N186" s="6" t="s">
        <v>25</v>
      </c>
      <c r="O186" s="5">
        <v>15</v>
      </c>
      <c r="P186" t="e">
        <v>#DIV/0!</v>
      </c>
      <c r="Q186" t="b">
        <v>0</v>
      </c>
      <c r="R186" s="5" t="str">
        <v>Even</v>
      </c>
      <c r="S186">
        <f t="shared" si="7"/>
        <v>3</v>
      </c>
      <c r="T186" t="str">
        <v/>
      </c>
      <c r="U186" t="str">
        <v>Bad</v>
      </c>
      <c r="V186" t="b">
        <v>0</v>
      </c>
      <c r="W186" t="str" cm="1">
        <f t="array" ref="W186">IF(AND(D186:D534&gt;40, K186:K534&lt;300, H186:H534&lt;8000), "Not Eligible", "Eligible")</f>
        <v>Eligible</v>
      </c>
      <c r="X186" t="str">
        <f t="shared" si="8"/>
        <v>Bad</v>
      </c>
      <c r="Y186" t="str">
        <f t="shared" si="9"/>
        <v/>
      </c>
      <c r="Z186" t="b">
        <v>1</v>
      </c>
    </row>
    <row r="187" spans="1:26" x14ac:dyDescent="0.3">
      <c r="A187" s="5">
        <f t="shared" si="10"/>
        <v>186</v>
      </c>
      <c r="B187" s="7" t="s">
        <v>278</v>
      </c>
      <c r="C187" s="7" t="s">
        <v>279</v>
      </c>
      <c r="D187" s="6">
        <v>50</v>
      </c>
      <c r="E187" s="6" t="s">
        <v>14</v>
      </c>
      <c r="F187" s="6" t="s">
        <v>22</v>
      </c>
      <c r="G187" s="6">
        <v>3000</v>
      </c>
      <c r="H187" s="6">
        <v>47000</v>
      </c>
      <c r="I187" s="6" t="s">
        <v>23</v>
      </c>
      <c r="J187" s="6">
        <v>8000</v>
      </c>
      <c r="K187" s="6">
        <v>680</v>
      </c>
      <c r="L187" s="6" t="s">
        <v>24</v>
      </c>
      <c r="M187" s="6" t="s">
        <v>82</v>
      </c>
      <c r="N187" s="6" t="s">
        <v>18</v>
      </c>
      <c r="O187" s="5">
        <v>13</v>
      </c>
      <c r="P187">
        <v>5.875</v>
      </c>
      <c r="Q187" t="b">
        <v>1</v>
      </c>
      <c r="R187" s="5" t="str">
        <v>Even</v>
      </c>
      <c r="S187">
        <f t="shared" si="7"/>
        <v>119</v>
      </c>
      <c r="T187" t="str">
        <v>Good</v>
      </c>
      <c r="U187" t="str">
        <v/>
      </c>
      <c r="V187" t="b">
        <v>0</v>
      </c>
      <c r="W187" t="str" cm="1">
        <f t="array" ref="W187">IF(AND(D187:D535&gt;40, K187:K535&lt;300, H187:H535&lt;8000), "Not Eligible", "Eligible")</f>
        <v>Eligible</v>
      </c>
      <c r="X187" t="str">
        <f t="shared" si="8"/>
        <v>Good</v>
      </c>
      <c r="Y187" t="str">
        <f t="shared" si="9"/>
        <v>In Progress</v>
      </c>
      <c r="Z187" t="b">
        <v>0</v>
      </c>
    </row>
    <row r="188" spans="1:26" x14ac:dyDescent="0.3">
      <c r="A188" s="5">
        <f t="shared" si="10"/>
        <v>187</v>
      </c>
      <c r="B188" s="7" t="s">
        <v>280</v>
      </c>
      <c r="C188" s="7" t="s">
        <v>166</v>
      </c>
      <c r="D188" s="6">
        <v>28</v>
      </c>
      <c r="E188" s="6" t="s">
        <v>21</v>
      </c>
      <c r="F188" s="6" t="s">
        <v>15</v>
      </c>
      <c r="G188" s="6">
        <v>4000</v>
      </c>
      <c r="H188" s="6">
        <v>53000</v>
      </c>
      <c r="I188" s="6" t="s">
        <v>16</v>
      </c>
      <c r="J188" s="6">
        <v>0</v>
      </c>
      <c r="K188" s="6">
        <v>690</v>
      </c>
      <c r="L188" s="6" t="s">
        <v>28</v>
      </c>
      <c r="M188" s="6" t="s">
        <v>80</v>
      </c>
      <c r="N188" s="6" t="s">
        <v>25</v>
      </c>
      <c r="O188" s="5">
        <v>7</v>
      </c>
      <c r="P188" t="e">
        <v>#DIV/0!</v>
      </c>
      <c r="Q188" t="b">
        <v>0</v>
      </c>
      <c r="R188" s="5" t="str">
        <v>Even</v>
      </c>
      <c r="S188">
        <f t="shared" si="7"/>
        <v>91</v>
      </c>
      <c r="T188" t="str">
        <v/>
      </c>
      <c r="U188" t="str">
        <v>Bad</v>
      </c>
      <c r="V188" t="b">
        <v>0</v>
      </c>
      <c r="W188" t="str" cm="1">
        <f t="array" ref="W188">IF(AND(D188:D536&gt;40, K188:K536&lt;300, H188:H536&lt;8000), "Not Eligible", "Eligible")</f>
        <v>Eligible</v>
      </c>
      <c r="X188" t="str">
        <f t="shared" si="8"/>
        <v>Bad</v>
      </c>
      <c r="Y188" t="str">
        <f t="shared" si="9"/>
        <v/>
      </c>
      <c r="Z188" t="b">
        <v>1</v>
      </c>
    </row>
    <row r="189" spans="1:26" x14ac:dyDescent="0.3">
      <c r="A189" s="5">
        <f t="shared" si="10"/>
        <v>188</v>
      </c>
      <c r="B189" s="7" t="s">
        <v>281</v>
      </c>
      <c r="C189" s="7" t="s">
        <v>57</v>
      </c>
      <c r="D189" s="6">
        <v>36</v>
      </c>
      <c r="E189" s="6" t="s">
        <v>14</v>
      </c>
      <c r="F189" s="6" t="s">
        <v>22</v>
      </c>
      <c r="G189" s="6">
        <v>9000</v>
      </c>
      <c r="H189" s="6">
        <v>71000</v>
      </c>
      <c r="I189" s="6" t="s">
        <v>23</v>
      </c>
      <c r="J189" s="6">
        <v>13000</v>
      </c>
      <c r="K189" s="6">
        <v>700</v>
      </c>
      <c r="L189" s="6" t="s">
        <v>31</v>
      </c>
      <c r="M189" s="6" t="s">
        <v>81</v>
      </c>
      <c r="N189" s="6" t="s">
        <v>18</v>
      </c>
      <c r="O189" s="5">
        <v>5</v>
      </c>
      <c r="P189">
        <v>5.4615384615384617</v>
      </c>
      <c r="Q189" t="b">
        <v>1</v>
      </c>
      <c r="R189" s="5" t="str">
        <v>Even</v>
      </c>
      <c r="S189">
        <f t="shared" si="7"/>
        <v>69</v>
      </c>
      <c r="T189" t="str">
        <v>Good</v>
      </c>
      <c r="U189" t="str">
        <v/>
      </c>
      <c r="V189" t="b">
        <v>0</v>
      </c>
      <c r="W189" t="str" cm="1">
        <f t="array" ref="W189">IF(AND(D189:D537&gt;40, K189:K537&lt;300, H189:H537&lt;8000), "Not Eligible", "Eligible")</f>
        <v>Eligible</v>
      </c>
      <c r="X189" t="str">
        <f t="shared" si="8"/>
        <v>Good</v>
      </c>
      <c r="Y189" t="str">
        <f t="shared" si="9"/>
        <v>In Progress</v>
      </c>
      <c r="Z189" t="b">
        <v>0</v>
      </c>
    </row>
    <row r="190" spans="1:26" x14ac:dyDescent="0.3">
      <c r="A190" s="5">
        <f t="shared" si="10"/>
        <v>189</v>
      </c>
      <c r="B190" s="7" t="s">
        <v>282</v>
      </c>
      <c r="C190" s="7" t="s">
        <v>154</v>
      </c>
      <c r="D190" s="6">
        <v>41</v>
      </c>
      <c r="E190" s="6" t="s">
        <v>21</v>
      </c>
      <c r="F190" s="6" t="s">
        <v>15</v>
      </c>
      <c r="G190" s="6">
        <v>8000</v>
      </c>
      <c r="H190" s="6">
        <v>67000</v>
      </c>
      <c r="I190" s="6" t="s">
        <v>16</v>
      </c>
      <c r="J190" s="6">
        <v>0</v>
      </c>
      <c r="K190" s="6">
        <v>710</v>
      </c>
      <c r="L190" s="6" t="s">
        <v>17</v>
      </c>
      <c r="M190" s="6" t="s">
        <v>82</v>
      </c>
      <c r="N190" s="6" t="s">
        <v>25</v>
      </c>
      <c r="O190" s="5">
        <v>3</v>
      </c>
      <c r="P190" t="e">
        <v>#DIV/0!</v>
      </c>
      <c r="Q190" t="b">
        <v>0</v>
      </c>
      <c r="R190" s="5" t="str">
        <v>Odd</v>
      </c>
      <c r="S190">
        <f t="shared" si="7"/>
        <v>44</v>
      </c>
      <c r="T190" t="str">
        <v/>
      </c>
      <c r="U190" t="str">
        <v>Bad</v>
      </c>
      <c r="V190" t="b">
        <v>0</v>
      </c>
      <c r="W190" t="str" cm="1">
        <f t="array" ref="W190">IF(AND(D190:D538&gt;40, K190:K538&lt;300, H190:H538&lt;8000), "Not Eligible", "Eligible")</f>
        <v>Eligible</v>
      </c>
      <c r="X190" t="str">
        <f t="shared" si="8"/>
        <v>Bad</v>
      </c>
      <c r="Y190" t="str">
        <f t="shared" si="9"/>
        <v/>
      </c>
      <c r="Z190" t="b">
        <v>1</v>
      </c>
    </row>
    <row r="191" spans="1:26" x14ac:dyDescent="0.3">
      <c r="A191" s="5">
        <f t="shared" si="10"/>
        <v>190</v>
      </c>
      <c r="B191" s="7" t="s">
        <v>283</v>
      </c>
      <c r="C191" s="7" t="s">
        <v>284</v>
      </c>
      <c r="D191" s="6">
        <v>30</v>
      </c>
      <c r="E191" s="6" t="s">
        <v>14</v>
      </c>
      <c r="F191" s="6" t="s">
        <v>22</v>
      </c>
      <c r="G191" s="6">
        <v>5000</v>
      </c>
      <c r="H191" s="6">
        <v>55000</v>
      </c>
      <c r="I191" s="6" t="s">
        <v>23</v>
      </c>
      <c r="J191" s="6">
        <v>7000</v>
      </c>
      <c r="K191" s="6">
        <v>690</v>
      </c>
      <c r="L191" s="6" t="s">
        <v>24</v>
      </c>
      <c r="M191" s="6" t="s">
        <v>82</v>
      </c>
      <c r="N191" s="6" t="s">
        <v>18</v>
      </c>
      <c r="O191" s="5">
        <v>8</v>
      </c>
      <c r="P191">
        <v>7.8571428571428568</v>
      </c>
      <c r="Q191" t="b">
        <v>1</v>
      </c>
      <c r="R191" s="5" t="str">
        <v>Even</v>
      </c>
      <c r="S191">
        <f t="shared" si="7"/>
        <v>89</v>
      </c>
      <c r="T191" t="str">
        <v>Good</v>
      </c>
      <c r="U191" t="str">
        <v/>
      </c>
      <c r="V191" t="b">
        <v>0</v>
      </c>
      <c r="W191" t="str" cm="1">
        <f t="array" ref="W191">IF(AND(D191:D539&gt;40, K191:K539&lt;300, H191:H539&lt;8000), "Not Eligible", "Eligible")</f>
        <v>Eligible</v>
      </c>
      <c r="X191" t="str">
        <f t="shared" si="8"/>
        <v>Good</v>
      </c>
      <c r="Y191" t="str">
        <f t="shared" si="9"/>
        <v>In Progress</v>
      </c>
      <c r="Z191" t="b">
        <v>0</v>
      </c>
    </row>
    <row r="192" spans="1:26" x14ac:dyDescent="0.3">
      <c r="A192" s="5">
        <f t="shared" si="10"/>
        <v>191</v>
      </c>
      <c r="B192" s="7" t="s">
        <v>285</v>
      </c>
      <c r="C192" s="7" t="s">
        <v>60</v>
      </c>
      <c r="D192" s="6">
        <v>29</v>
      </c>
      <c r="E192" s="6" t="s">
        <v>21</v>
      </c>
      <c r="F192" s="6" t="s">
        <v>15</v>
      </c>
      <c r="G192" s="6">
        <v>3000</v>
      </c>
      <c r="H192" s="6">
        <v>48000</v>
      </c>
      <c r="I192" s="6" t="s">
        <v>16</v>
      </c>
      <c r="J192" s="6">
        <v>0</v>
      </c>
      <c r="K192" s="6">
        <v>670</v>
      </c>
      <c r="L192" s="6" t="s">
        <v>28</v>
      </c>
      <c r="M192" s="6" t="s">
        <v>80</v>
      </c>
      <c r="N192" s="6" t="s">
        <v>25</v>
      </c>
      <c r="O192" s="5">
        <v>4</v>
      </c>
      <c r="P192" t="e">
        <v>#DIV/0!</v>
      </c>
      <c r="Q192" t="b">
        <v>0</v>
      </c>
      <c r="R192" s="5" t="str">
        <v>Odd</v>
      </c>
      <c r="S192">
        <f t="shared" si="7"/>
        <v>146</v>
      </c>
      <c r="T192" t="str">
        <v/>
      </c>
      <c r="U192" t="str">
        <v>Bad</v>
      </c>
      <c r="V192" t="b">
        <v>0</v>
      </c>
      <c r="W192" t="str" cm="1">
        <f t="array" ref="W192">IF(AND(D192:D540&gt;40, K192:K540&lt;300, H192:H540&lt;8000), "Not Eligible", "Eligible")</f>
        <v>Eligible</v>
      </c>
      <c r="X192" t="str">
        <f t="shared" si="8"/>
        <v>Bad</v>
      </c>
      <c r="Y192" t="str">
        <f t="shared" si="9"/>
        <v/>
      </c>
      <c r="Z192" t="b">
        <v>1</v>
      </c>
    </row>
    <row r="193" spans="1:26" x14ac:dyDescent="0.3">
      <c r="A193" s="5">
        <f t="shared" si="10"/>
        <v>192</v>
      </c>
      <c r="B193" s="7" t="s">
        <v>286</v>
      </c>
      <c r="C193" s="7" t="s">
        <v>27</v>
      </c>
      <c r="D193" s="6">
        <v>34</v>
      </c>
      <c r="E193" s="6" t="s">
        <v>14</v>
      </c>
      <c r="F193" s="6" t="s">
        <v>22</v>
      </c>
      <c r="G193" s="6">
        <v>11000</v>
      </c>
      <c r="H193" s="6">
        <v>62000</v>
      </c>
      <c r="I193" s="6" t="s">
        <v>23</v>
      </c>
      <c r="J193" s="6">
        <v>12000</v>
      </c>
      <c r="K193" s="6">
        <v>720</v>
      </c>
      <c r="L193" s="6" t="s">
        <v>31</v>
      </c>
      <c r="M193" s="6" t="s">
        <v>80</v>
      </c>
      <c r="N193" s="6" t="s">
        <v>18</v>
      </c>
      <c r="O193" s="5" t="s">
        <v>319</v>
      </c>
      <c r="P193">
        <v>5.166666666666667</v>
      </c>
      <c r="Q193" t="b">
        <v>1</v>
      </c>
      <c r="R193" s="5" t="str">
        <v>Even</v>
      </c>
      <c r="S193">
        <f t="shared" si="7"/>
        <v>11</v>
      </c>
      <c r="T193" t="str">
        <v>Good</v>
      </c>
      <c r="U193" t="str">
        <v/>
      </c>
      <c r="V193" t="b">
        <v>1</v>
      </c>
      <c r="W193" t="str" cm="1">
        <f t="array" ref="W193">IF(AND(D193:D541&gt;40, K193:K541&lt;300, H193:H541&lt;8000), "Not Eligible", "Eligible")</f>
        <v>Eligible</v>
      </c>
      <c r="X193" t="str">
        <f t="shared" si="8"/>
        <v>Good</v>
      </c>
      <c r="Y193" t="str">
        <f t="shared" si="9"/>
        <v>In Progress</v>
      </c>
      <c r="Z193" t="b">
        <v>0</v>
      </c>
    </row>
    <row r="194" spans="1:26" x14ac:dyDescent="0.3">
      <c r="A194" s="5">
        <f t="shared" si="10"/>
        <v>193</v>
      </c>
      <c r="B194" s="7" t="s">
        <v>287</v>
      </c>
      <c r="C194" s="7" t="s">
        <v>258</v>
      </c>
      <c r="D194" s="6">
        <v>37</v>
      </c>
      <c r="E194" s="6" t="s">
        <v>21</v>
      </c>
      <c r="F194" s="6" t="s">
        <v>15</v>
      </c>
      <c r="G194" s="6">
        <v>5500</v>
      </c>
      <c r="H194" s="6">
        <v>69000</v>
      </c>
      <c r="I194" s="6" t="s">
        <v>16</v>
      </c>
      <c r="J194" s="6">
        <v>0</v>
      </c>
      <c r="K194" s="6">
        <v>710</v>
      </c>
      <c r="L194" s="6" t="s">
        <v>17</v>
      </c>
      <c r="M194" s="6" t="s">
        <v>80</v>
      </c>
      <c r="N194" s="6" t="s">
        <v>25</v>
      </c>
      <c r="O194" s="5">
        <v>7</v>
      </c>
      <c r="P194" t="e">
        <v>#DIV/0!</v>
      </c>
      <c r="Q194" t="b">
        <v>0</v>
      </c>
      <c r="R194" s="5" t="str">
        <v>Odd</v>
      </c>
      <c r="S194">
        <f t="shared" si="7"/>
        <v>43</v>
      </c>
      <c r="T194" t="str">
        <v/>
      </c>
      <c r="U194" t="str">
        <v>Bad</v>
      </c>
      <c r="V194" t="b">
        <v>0</v>
      </c>
      <c r="W194" t="str" cm="1">
        <f t="array" ref="W194">IF(AND(D194:D542&gt;40, K194:K542&lt;300, H194:H542&lt;8000), "Not Eligible", "Eligible")</f>
        <v>Eligible</v>
      </c>
      <c r="X194" t="str">
        <f t="shared" si="8"/>
        <v>Bad</v>
      </c>
      <c r="Y194" t="str">
        <f t="shared" si="9"/>
        <v/>
      </c>
      <c r="Z194" t="b">
        <v>1</v>
      </c>
    </row>
    <row r="195" spans="1:26" x14ac:dyDescent="0.3">
      <c r="A195" s="5">
        <f t="shared" si="10"/>
        <v>194</v>
      </c>
      <c r="B195" s="7" t="s">
        <v>139</v>
      </c>
      <c r="C195" s="7" t="s">
        <v>49</v>
      </c>
      <c r="D195" s="6">
        <v>45</v>
      </c>
      <c r="E195" s="6" t="s">
        <v>14</v>
      </c>
      <c r="F195" s="6" t="s">
        <v>15</v>
      </c>
      <c r="G195" s="6">
        <v>7000</v>
      </c>
      <c r="H195" s="6">
        <v>74000</v>
      </c>
      <c r="I195" s="6" t="s">
        <v>23</v>
      </c>
      <c r="J195" s="6">
        <v>15000</v>
      </c>
      <c r="K195" s="6">
        <v>680</v>
      </c>
      <c r="L195" s="6" t="s">
        <v>24</v>
      </c>
      <c r="M195" s="6" t="s">
        <v>80</v>
      </c>
      <c r="N195" s="6" t="s">
        <v>18</v>
      </c>
      <c r="O195" s="5">
        <v>12</v>
      </c>
      <c r="P195">
        <v>4.9333333333333336</v>
      </c>
      <c r="Q195" t="b">
        <v>1</v>
      </c>
      <c r="R195" s="5" t="str">
        <v>Odd</v>
      </c>
      <c r="S195">
        <f t="shared" ref="S195:S258" si="11">_xlfn.RANK.EQ(K195,K195:K543,0)</f>
        <v>113</v>
      </c>
      <c r="T195" t="str">
        <v>Good</v>
      </c>
      <c r="U195" t="str">
        <v/>
      </c>
      <c r="V195" t="b">
        <v>0</v>
      </c>
      <c r="W195" t="str" cm="1">
        <f t="array" ref="W195">IF(AND(D195:D543&gt;40, K195:K543&lt;300, H195:H543&lt;8000), "Not Eligible", "Eligible")</f>
        <v>Eligible</v>
      </c>
      <c r="X195" t="str">
        <f t="shared" ref="X195:X258" si="12">IF(AND(E195="M",K195&gt;500,G195&gt;2000),"Good", "Bad")</f>
        <v>Good</v>
      </c>
      <c r="Y195" t="str">
        <f t="shared" ref="Y195:Y258" si="13">IF(AND(M195&lt;&gt;"none",N195="Active"),"In Progress", "")</f>
        <v>In Progress</v>
      </c>
      <c r="Z195" t="b">
        <v>0</v>
      </c>
    </row>
    <row r="196" spans="1:26" x14ac:dyDescent="0.3">
      <c r="A196" s="5">
        <f t="shared" si="10"/>
        <v>195</v>
      </c>
      <c r="B196" s="7" t="s">
        <v>288</v>
      </c>
      <c r="C196" s="7" t="s">
        <v>233</v>
      </c>
      <c r="D196" s="6">
        <v>40</v>
      </c>
      <c r="E196" s="6" t="s">
        <v>21</v>
      </c>
      <c r="F196" s="6" t="s">
        <v>15</v>
      </c>
      <c r="G196" s="6">
        <v>2000</v>
      </c>
      <c r="H196" s="6">
        <v>50000</v>
      </c>
      <c r="I196" s="6" t="s">
        <v>16</v>
      </c>
      <c r="J196" s="6">
        <v>0</v>
      </c>
      <c r="K196" s="6">
        <v>720</v>
      </c>
      <c r="L196" s="6" t="s">
        <v>28</v>
      </c>
      <c r="M196" s="6" t="s">
        <v>80</v>
      </c>
      <c r="N196" s="6" t="s">
        <v>25</v>
      </c>
      <c r="O196" s="5">
        <v>11</v>
      </c>
      <c r="P196" t="e">
        <v>#DIV/0!</v>
      </c>
      <c r="Q196" t="b">
        <v>0</v>
      </c>
      <c r="R196" s="5" t="str">
        <v>Even</v>
      </c>
      <c r="S196">
        <f t="shared" si="11"/>
        <v>11</v>
      </c>
      <c r="T196" t="str">
        <v/>
      </c>
      <c r="U196" t="str">
        <v>Bad</v>
      </c>
      <c r="V196" t="b">
        <v>0</v>
      </c>
      <c r="W196" t="str" cm="1">
        <f t="array" ref="W196">IF(AND(D196:D544&gt;40, K196:K544&lt;300, H196:H544&lt;8000), "Not Eligible", "Eligible")</f>
        <v>Eligible</v>
      </c>
      <c r="X196" t="str">
        <f t="shared" si="12"/>
        <v>Bad</v>
      </c>
      <c r="Y196" t="str">
        <f t="shared" si="13"/>
        <v/>
      </c>
      <c r="Z196" t="b">
        <v>1</v>
      </c>
    </row>
    <row r="197" spans="1:26" x14ac:dyDescent="0.3">
      <c r="A197" s="5">
        <f t="shared" si="10"/>
        <v>196</v>
      </c>
      <c r="B197" s="7" t="s">
        <v>289</v>
      </c>
      <c r="C197" s="7" t="s">
        <v>172</v>
      </c>
      <c r="D197" s="6">
        <v>27</v>
      </c>
      <c r="E197" s="6" t="s">
        <v>14</v>
      </c>
      <c r="F197" s="6" t="s">
        <v>22</v>
      </c>
      <c r="G197" s="6">
        <v>6000</v>
      </c>
      <c r="H197" s="6">
        <v>55000</v>
      </c>
      <c r="I197" s="6" t="s">
        <v>23</v>
      </c>
      <c r="J197" s="6">
        <v>10000</v>
      </c>
      <c r="K197" s="6">
        <v>690</v>
      </c>
      <c r="L197" s="6" t="s">
        <v>31</v>
      </c>
      <c r="M197" s="6" t="s">
        <v>80</v>
      </c>
      <c r="N197" s="6" t="s">
        <v>18</v>
      </c>
      <c r="O197" s="5">
        <v>3</v>
      </c>
      <c r="P197">
        <v>5.5</v>
      </c>
      <c r="Q197" t="b">
        <v>1</v>
      </c>
      <c r="R197" s="5" t="str">
        <v>Odd</v>
      </c>
      <c r="S197">
        <f t="shared" si="11"/>
        <v>86</v>
      </c>
      <c r="T197" t="str">
        <v>Good</v>
      </c>
      <c r="U197" t="str">
        <v/>
      </c>
      <c r="V197" t="b">
        <v>0</v>
      </c>
      <c r="W197" t="str" cm="1">
        <f t="array" ref="W197">IF(AND(D197:D545&gt;40, K197:K545&lt;300, H197:H545&lt;8000), "Not Eligible", "Eligible")</f>
        <v>Eligible</v>
      </c>
      <c r="X197" t="str">
        <f t="shared" si="12"/>
        <v>Good</v>
      </c>
      <c r="Y197" t="str">
        <f t="shared" si="13"/>
        <v>In Progress</v>
      </c>
      <c r="Z197" t="b">
        <v>0</v>
      </c>
    </row>
    <row r="198" spans="1:26" x14ac:dyDescent="0.3">
      <c r="A198" s="5">
        <f t="shared" si="10"/>
        <v>197</v>
      </c>
      <c r="B198" s="7" t="s">
        <v>210</v>
      </c>
      <c r="C198" s="7" t="s">
        <v>194</v>
      </c>
      <c r="D198" s="6">
        <v>31</v>
      </c>
      <c r="E198" s="6" t="s">
        <v>21</v>
      </c>
      <c r="F198" s="6" t="s">
        <v>15</v>
      </c>
      <c r="G198" s="6">
        <v>3500</v>
      </c>
      <c r="H198" s="6">
        <v>62000</v>
      </c>
      <c r="I198" s="6" t="s">
        <v>16</v>
      </c>
      <c r="J198" s="6">
        <v>0</v>
      </c>
      <c r="K198" s="6">
        <v>680</v>
      </c>
      <c r="L198" s="6" t="s">
        <v>17</v>
      </c>
      <c r="M198" s="6" t="s">
        <v>82</v>
      </c>
      <c r="N198" s="6" t="s">
        <v>25</v>
      </c>
      <c r="O198" s="5">
        <v>5</v>
      </c>
      <c r="P198" t="e">
        <v>#DIV/0!</v>
      </c>
      <c r="Q198" t="b">
        <v>0</v>
      </c>
      <c r="R198" s="5" t="str">
        <v>Odd</v>
      </c>
      <c r="S198">
        <f t="shared" si="11"/>
        <v>111</v>
      </c>
      <c r="T198" t="str">
        <v/>
      </c>
      <c r="U198" t="str">
        <v>Bad</v>
      </c>
      <c r="V198" t="b">
        <v>0</v>
      </c>
      <c r="W198" t="str" cm="1">
        <f t="array" ref="W198">IF(AND(D198:D546&gt;40, K198:K546&lt;300, H198:H546&lt;8000), "Not Eligible", "Eligible")</f>
        <v>Eligible</v>
      </c>
      <c r="X198" t="str">
        <f t="shared" si="12"/>
        <v>Bad</v>
      </c>
      <c r="Y198" t="str">
        <f t="shared" si="13"/>
        <v/>
      </c>
      <c r="Z198" t="b">
        <v>1</v>
      </c>
    </row>
    <row r="199" spans="1:26" x14ac:dyDescent="0.3">
      <c r="A199" s="5">
        <f t="shared" si="10"/>
        <v>198</v>
      </c>
      <c r="B199" s="7" t="s">
        <v>290</v>
      </c>
      <c r="C199" s="7" t="s">
        <v>65</v>
      </c>
      <c r="D199" s="6">
        <v>53</v>
      </c>
      <c r="E199" s="6" t="s">
        <v>14</v>
      </c>
      <c r="F199" s="6" t="s">
        <v>22</v>
      </c>
      <c r="G199" s="6">
        <v>4000</v>
      </c>
      <c r="H199" s="6">
        <v>48000</v>
      </c>
      <c r="I199" s="6" t="s">
        <v>23</v>
      </c>
      <c r="J199" s="6">
        <v>5000</v>
      </c>
      <c r="K199" s="6">
        <v>710</v>
      </c>
      <c r="L199" s="6" t="s">
        <v>24</v>
      </c>
      <c r="M199" s="6" t="s">
        <v>82</v>
      </c>
      <c r="N199" s="6" t="s">
        <v>18</v>
      </c>
      <c r="O199" s="5">
        <v>3</v>
      </c>
      <c r="P199">
        <v>9.6</v>
      </c>
      <c r="Q199" t="b">
        <v>1</v>
      </c>
      <c r="R199" s="5" t="str">
        <v>Odd</v>
      </c>
      <c r="S199">
        <f t="shared" si="11"/>
        <v>42</v>
      </c>
      <c r="T199" t="str">
        <v>Good</v>
      </c>
      <c r="U199" t="str">
        <v/>
      </c>
      <c r="V199" t="b">
        <v>0</v>
      </c>
      <c r="W199" t="str" cm="1">
        <f t="array" ref="W199">IF(AND(D199:D547&gt;40, K199:K547&lt;300, H199:H547&lt;8000), "Not Eligible", "Eligible")</f>
        <v>Eligible</v>
      </c>
      <c r="X199" t="str">
        <f t="shared" si="12"/>
        <v>Good</v>
      </c>
      <c r="Y199" t="str">
        <f t="shared" si="13"/>
        <v>In Progress</v>
      </c>
      <c r="Z199" t="b">
        <v>0</v>
      </c>
    </row>
    <row r="200" spans="1:26" x14ac:dyDescent="0.3">
      <c r="A200" s="5">
        <f t="shared" si="10"/>
        <v>199</v>
      </c>
      <c r="B200" s="7" t="s">
        <v>291</v>
      </c>
      <c r="C200" s="7" t="s">
        <v>59</v>
      </c>
      <c r="D200" s="6">
        <v>28</v>
      </c>
      <c r="E200" s="6" t="s">
        <v>21</v>
      </c>
      <c r="F200" s="6" t="s">
        <v>15</v>
      </c>
      <c r="G200" s="6">
        <v>5500</v>
      </c>
      <c r="H200" s="6">
        <v>59000</v>
      </c>
      <c r="I200" s="6" t="s">
        <v>16</v>
      </c>
      <c r="J200" s="6">
        <v>0</v>
      </c>
      <c r="K200" s="6">
        <v>700</v>
      </c>
      <c r="L200" s="6" t="s">
        <v>28</v>
      </c>
      <c r="M200" s="6" t="s">
        <v>82</v>
      </c>
      <c r="N200" s="6" t="s">
        <v>25</v>
      </c>
      <c r="O200" s="5">
        <v>11</v>
      </c>
      <c r="P200" t="e">
        <v>#DIV/0!</v>
      </c>
      <c r="Q200" t="b">
        <v>0</v>
      </c>
      <c r="R200" s="5" t="str">
        <v>Even</v>
      </c>
      <c r="S200">
        <f t="shared" si="11"/>
        <v>64</v>
      </c>
      <c r="T200" t="str">
        <v/>
      </c>
      <c r="U200" t="str">
        <v>Bad</v>
      </c>
      <c r="V200" t="b">
        <v>0</v>
      </c>
      <c r="W200" t="str" cm="1">
        <f t="array" ref="W200">IF(AND(D200:D548&gt;40, K200:K548&lt;300, H200:H548&lt;8000), "Not Eligible", "Eligible")</f>
        <v>Eligible</v>
      </c>
      <c r="X200" t="str">
        <f t="shared" si="12"/>
        <v>Bad</v>
      </c>
      <c r="Y200" t="str">
        <f t="shared" si="13"/>
        <v/>
      </c>
      <c r="Z200" t="b">
        <v>1</v>
      </c>
    </row>
    <row r="201" spans="1:26" x14ac:dyDescent="0.3">
      <c r="A201" s="5">
        <f t="shared" si="10"/>
        <v>200</v>
      </c>
      <c r="B201" s="7" t="s">
        <v>63</v>
      </c>
      <c r="C201" s="7" t="s">
        <v>33</v>
      </c>
      <c r="D201" s="6">
        <v>46</v>
      </c>
      <c r="E201" s="6" t="s">
        <v>14</v>
      </c>
      <c r="F201" s="6" t="s">
        <v>22</v>
      </c>
      <c r="G201" s="6">
        <v>9000</v>
      </c>
      <c r="H201" s="6">
        <v>73000</v>
      </c>
      <c r="I201" s="6" t="s">
        <v>23</v>
      </c>
      <c r="J201" s="6">
        <v>13000</v>
      </c>
      <c r="K201" s="6">
        <v>720</v>
      </c>
      <c r="L201" s="6" t="s">
        <v>31</v>
      </c>
      <c r="M201" s="6" t="s">
        <v>82</v>
      </c>
      <c r="N201" s="6" t="s">
        <v>18</v>
      </c>
      <c r="O201" s="5">
        <v>11</v>
      </c>
      <c r="P201">
        <v>5.615384615384615</v>
      </c>
      <c r="Q201" t="b">
        <v>1</v>
      </c>
      <c r="R201" s="5" t="str">
        <v>Even</v>
      </c>
      <c r="S201">
        <f t="shared" si="11"/>
        <v>11</v>
      </c>
      <c r="T201" t="str">
        <v>Good</v>
      </c>
      <c r="U201" t="str">
        <v/>
      </c>
      <c r="V201" t="b">
        <v>0</v>
      </c>
      <c r="W201" t="str" cm="1">
        <f t="array" ref="W201">IF(AND(D201:D549&gt;40, K201:K549&lt;300, H201:H549&lt;8000), "Not Eligible", "Eligible")</f>
        <v>Eligible</v>
      </c>
      <c r="X201" t="str">
        <f t="shared" si="12"/>
        <v>Good</v>
      </c>
      <c r="Y201" t="str">
        <f t="shared" si="13"/>
        <v>In Progress</v>
      </c>
      <c r="Z201" t="b">
        <v>0</v>
      </c>
    </row>
    <row r="202" spans="1:26" x14ac:dyDescent="0.3">
      <c r="A202" s="5">
        <f t="shared" si="10"/>
        <v>201</v>
      </c>
      <c r="B202" s="7" t="s">
        <v>292</v>
      </c>
      <c r="C202" s="7" t="s">
        <v>182</v>
      </c>
      <c r="D202" s="6">
        <v>39</v>
      </c>
      <c r="E202" s="6" t="s">
        <v>21</v>
      </c>
      <c r="F202" s="6" t="s">
        <v>15</v>
      </c>
      <c r="G202" s="6">
        <v>4000</v>
      </c>
      <c r="H202" s="6">
        <v>65000</v>
      </c>
      <c r="I202" s="6" t="s">
        <v>16</v>
      </c>
      <c r="J202" s="6">
        <v>0</v>
      </c>
      <c r="K202" s="6">
        <v>680</v>
      </c>
      <c r="L202" s="6" t="s">
        <v>17</v>
      </c>
      <c r="M202" s="6" t="s">
        <v>82</v>
      </c>
      <c r="N202" s="6" t="s">
        <v>25</v>
      </c>
      <c r="O202" s="5">
        <v>6</v>
      </c>
      <c r="P202" t="e">
        <v>#DIV/0!</v>
      </c>
      <c r="Q202" t="b">
        <v>0</v>
      </c>
      <c r="R202" s="5" t="str">
        <v>Odd</v>
      </c>
      <c r="S202">
        <f t="shared" si="11"/>
        <v>108</v>
      </c>
      <c r="T202" t="str">
        <v/>
      </c>
      <c r="U202" t="str">
        <v>Bad</v>
      </c>
      <c r="V202" t="b">
        <v>0</v>
      </c>
      <c r="W202" t="str" cm="1">
        <f t="array" ref="W202">IF(AND(D202:D550&gt;40, K202:K550&lt;300, H202:H550&lt;8000), "Not Eligible", "Eligible")</f>
        <v>Eligible</v>
      </c>
      <c r="X202" t="str">
        <f t="shared" si="12"/>
        <v>Bad</v>
      </c>
      <c r="Y202" t="str">
        <f t="shared" si="13"/>
        <v/>
      </c>
      <c r="Z202" t="b">
        <v>1</v>
      </c>
    </row>
    <row r="203" spans="1:26" x14ac:dyDescent="0.3">
      <c r="A203" s="5">
        <f t="shared" si="10"/>
        <v>202</v>
      </c>
      <c r="B203" s="7" t="s">
        <v>293</v>
      </c>
      <c r="C203" s="7" t="s">
        <v>49</v>
      </c>
      <c r="D203" s="6">
        <v>27</v>
      </c>
      <c r="E203" s="6" t="s">
        <v>14</v>
      </c>
      <c r="F203" s="6" t="s">
        <v>22</v>
      </c>
      <c r="G203" s="6">
        <v>8000</v>
      </c>
      <c r="H203" s="6">
        <v>60000</v>
      </c>
      <c r="I203" s="6" t="s">
        <v>23</v>
      </c>
      <c r="J203" s="6">
        <v>8000</v>
      </c>
      <c r="K203" s="6">
        <v>710</v>
      </c>
      <c r="L203" s="6" t="s">
        <v>24</v>
      </c>
      <c r="M203" s="6" t="s">
        <v>82</v>
      </c>
      <c r="N203" s="6" t="s">
        <v>18</v>
      </c>
      <c r="O203" s="5">
        <v>6</v>
      </c>
      <c r="P203">
        <v>7.5</v>
      </c>
      <c r="Q203" t="b">
        <v>1</v>
      </c>
      <c r="R203" s="5" t="str">
        <v>Odd</v>
      </c>
      <c r="S203">
        <f t="shared" si="11"/>
        <v>41</v>
      </c>
      <c r="T203" t="str">
        <v>Good</v>
      </c>
      <c r="U203" t="str">
        <v/>
      </c>
      <c r="V203" t="b">
        <v>0</v>
      </c>
      <c r="W203" t="str" cm="1">
        <f t="array" ref="W203">IF(AND(D203:D551&gt;40, K203:K551&lt;300, H203:H551&lt;8000), "Not Eligible", "Eligible")</f>
        <v>Eligible</v>
      </c>
      <c r="X203" t="str">
        <f t="shared" si="12"/>
        <v>Good</v>
      </c>
      <c r="Y203" t="str">
        <f t="shared" si="13"/>
        <v>In Progress</v>
      </c>
      <c r="Z203" t="b">
        <v>0</v>
      </c>
    </row>
    <row r="204" spans="1:26" x14ac:dyDescent="0.3">
      <c r="A204" s="5">
        <f t="shared" si="10"/>
        <v>203</v>
      </c>
      <c r="B204" s="7" t="s">
        <v>277</v>
      </c>
      <c r="C204" s="7" t="s">
        <v>35</v>
      </c>
      <c r="D204" s="6">
        <v>34</v>
      </c>
      <c r="E204" s="6" t="s">
        <v>21</v>
      </c>
      <c r="F204" s="6" t="s">
        <v>15</v>
      </c>
      <c r="G204" s="6">
        <v>2500</v>
      </c>
      <c r="H204" s="6">
        <v>53000</v>
      </c>
      <c r="I204" s="6" t="s">
        <v>16</v>
      </c>
      <c r="J204" s="6">
        <v>0</v>
      </c>
      <c r="K204" s="6">
        <v>690</v>
      </c>
      <c r="L204" s="6" t="s">
        <v>28</v>
      </c>
      <c r="M204" s="6" t="s">
        <v>81</v>
      </c>
      <c r="N204" s="6" t="s">
        <v>25</v>
      </c>
      <c r="O204" s="5">
        <v>5</v>
      </c>
      <c r="P204" t="e">
        <v>#DIV/0!</v>
      </c>
      <c r="Q204" t="b">
        <v>0</v>
      </c>
      <c r="R204" s="5" t="str">
        <v>Even</v>
      </c>
      <c r="S204">
        <f t="shared" si="11"/>
        <v>82</v>
      </c>
      <c r="T204" t="str">
        <v/>
      </c>
      <c r="U204" t="str">
        <v>Bad</v>
      </c>
      <c r="V204" t="b">
        <v>0</v>
      </c>
      <c r="W204" t="str" cm="1">
        <f t="array" ref="W204">IF(AND(D204:D552&gt;40, K204:K552&lt;300, H204:H552&lt;8000), "Not Eligible", "Eligible")</f>
        <v>Eligible</v>
      </c>
      <c r="X204" t="str">
        <f t="shared" si="12"/>
        <v>Bad</v>
      </c>
      <c r="Y204" t="str">
        <f t="shared" si="13"/>
        <v/>
      </c>
      <c r="Z204" t="b">
        <v>1</v>
      </c>
    </row>
    <row r="205" spans="1:26" x14ac:dyDescent="0.3">
      <c r="A205" s="5">
        <f t="shared" si="10"/>
        <v>204</v>
      </c>
      <c r="B205" s="7" t="s">
        <v>118</v>
      </c>
      <c r="C205" s="7" t="s">
        <v>55</v>
      </c>
      <c r="D205" s="6">
        <v>32</v>
      </c>
      <c r="E205" s="6" t="s">
        <v>14</v>
      </c>
      <c r="F205" s="6" t="s">
        <v>22</v>
      </c>
      <c r="G205" s="6">
        <v>12000</v>
      </c>
      <c r="H205" s="6">
        <v>68000</v>
      </c>
      <c r="I205" s="6" t="s">
        <v>23</v>
      </c>
      <c r="J205" s="6">
        <v>15000</v>
      </c>
      <c r="K205" s="6">
        <v>720</v>
      </c>
      <c r="L205" s="6" t="s">
        <v>31</v>
      </c>
      <c r="M205" s="6" t="s">
        <v>81</v>
      </c>
      <c r="N205" s="6" t="s">
        <v>18</v>
      </c>
      <c r="O205" s="5">
        <v>4</v>
      </c>
      <c r="P205">
        <v>4.5333333333333332</v>
      </c>
      <c r="Q205" t="b">
        <v>1</v>
      </c>
      <c r="R205" s="5" t="str">
        <v>Even</v>
      </c>
      <c r="S205">
        <f t="shared" si="11"/>
        <v>11</v>
      </c>
      <c r="T205" t="str">
        <v>Good</v>
      </c>
      <c r="U205" t="str">
        <v/>
      </c>
      <c r="V205" t="b">
        <v>0</v>
      </c>
      <c r="W205" t="str" cm="1">
        <f t="array" ref="W205">IF(AND(D205:D553&gt;40, K205:K553&lt;300, H205:H553&lt;8000), "Not Eligible", "Eligible")</f>
        <v>Eligible</v>
      </c>
      <c r="X205" t="str">
        <f t="shared" si="12"/>
        <v>Good</v>
      </c>
      <c r="Y205" t="str">
        <f t="shared" si="13"/>
        <v>In Progress</v>
      </c>
      <c r="Z205" t="b">
        <v>0</v>
      </c>
    </row>
    <row r="206" spans="1:26" x14ac:dyDescent="0.3">
      <c r="A206" s="5">
        <f t="shared" si="10"/>
        <v>205</v>
      </c>
      <c r="B206" s="7" t="s">
        <v>294</v>
      </c>
      <c r="C206" s="7" t="s">
        <v>198</v>
      </c>
      <c r="D206" s="6">
        <v>49</v>
      </c>
      <c r="E206" s="6" t="s">
        <v>21</v>
      </c>
      <c r="F206" s="6" t="s">
        <v>15</v>
      </c>
      <c r="G206" s="6">
        <v>7000</v>
      </c>
      <c r="H206" s="6">
        <v>71000</v>
      </c>
      <c r="I206" s="6" t="s">
        <v>16</v>
      </c>
      <c r="J206" s="6">
        <v>0</v>
      </c>
      <c r="K206" s="6">
        <v>680</v>
      </c>
      <c r="L206" s="6" t="s">
        <v>17</v>
      </c>
      <c r="M206" s="6" t="s">
        <v>81</v>
      </c>
      <c r="N206" s="6" t="s">
        <v>25</v>
      </c>
      <c r="O206" s="5">
        <v>6</v>
      </c>
      <c r="P206" t="e">
        <v>#DIV/0!</v>
      </c>
      <c r="Q206" t="b">
        <v>0</v>
      </c>
      <c r="R206" s="5" t="str">
        <v>Odd</v>
      </c>
      <c r="S206">
        <f t="shared" si="11"/>
        <v>105</v>
      </c>
      <c r="T206" t="str">
        <v/>
      </c>
      <c r="U206" t="str">
        <v>Bad</v>
      </c>
      <c r="V206" t="b">
        <v>0</v>
      </c>
      <c r="W206" t="str" cm="1">
        <f t="array" ref="W206">IF(AND(D206:D554&gt;40, K206:K554&lt;300, H206:H554&lt;8000), "Not Eligible", "Eligible")</f>
        <v>Eligible</v>
      </c>
      <c r="X206" t="str">
        <f t="shared" si="12"/>
        <v>Bad</v>
      </c>
      <c r="Y206" t="str">
        <f t="shared" si="13"/>
        <v/>
      </c>
      <c r="Z206" t="b">
        <v>1</v>
      </c>
    </row>
    <row r="207" spans="1:26" x14ac:dyDescent="0.3">
      <c r="A207" s="5">
        <f t="shared" si="10"/>
        <v>206</v>
      </c>
      <c r="B207" s="7" t="s">
        <v>241</v>
      </c>
      <c r="C207" s="7" t="s">
        <v>200</v>
      </c>
      <c r="D207" s="6">
        <v>24</v>
      </c>
      <c r="E207" s="6" t="s">
        <v>14</v>
      </c>
      <c r="F207" s="6" t="s">
        <v>22</v>
      </c>
      <c r="G207" s="6">
        <v>5000</v>
      </c>
      <c r="H207" s="6">
        <v>56000</v>
      </c>
      <c r="I207" s="6" t="s">
        <v>23</v>
      </c>
      <c r="J207" s="6">
        <v>10000</v>
      </c>
      <c r="K207" s="6">
        <v>700</v>
      </c>
      <c r="L207" s="6" t="s">
        <v>24</v>
      </c>
      <c r="M207" s="6" t="s">
        <v>81</v>
      </c>
      <c r="N207" s="6" t="s">
        <v>18</v>
      </c>
      <c r="O207" s="5">
        <v>5</v>
      </c>
      <c r="P207">
        <v>5.6</v>
      </c>
      <c r="Q207" t="b">
        <v>1</v>
      </c>
      <c r="R207" s="5" t="str">
        <v>Even</v>
      </c>
      <c r="S207">
        <f t="shared" si="11"/>
        <v>61</v>
      </c>
      <c r="T207" t="str">
        <v>Good</v>
      </c>
      <c r="U207" t="str">
        <v/>
      </c>
      <c r="V207" t="b">
        <v>0</v>
      </c>
      <c r="W207" t="str" cm="1">
        <f t="array" ref="W207">IF(AND(D207:D555&gt;40, K207:K555&lt;300, H207:H555&lt;8000), "Not Eligible", "Eligible")</f>
        <v>Eligible</v>
      </c>
      <c r="X207" t="str">
        <f t="shared" si="12"/>
        <v>Good</v>
      </c>
      <c r="Y207" t="str">
        <f t="shared" si="13"/>
        <v>In Progress</v>
      </c>
      <c r="Z207" t="b">
        <v>0</v>
      </c>
    </row>
    <row r="208" spans="1:26" x14ac:dyDescent="0.3">
      <c r="A208" s="5">
        <f t="shared" si="10"/>
        <v>207</v>
      </c>
      <c r="B208" s="7" t="s">
        <v>120</v>
      </c>
      <c r="C208" s="7" t="s">
        <v>51</v>
      </c>
      <c r="D208" s="6">
        <v>29</v>
      </c>
      <c r="E208" s="6" t="s">
        <v>21</v>
      </c>
      <c r="F208" s="6" t="s">
        <v>15</v>
      </c>
      <c r="G208" s="6">
        <v>1500</v>
      </c>
      <c r="H208" s="6">
        <v>45000</v>
      </c>
      <c r="I208" s="6" t="s">
        <v>16</v>
      </c>
      <c r="J208" s="6">
        <v>0</v>
      </c>
      <c r="K208" s="6">
        <v>670</v>
      </c>
      <c r="L208" s="6" t="s">
        <v>28</v>
      </c>
      <c r="M208" s="6" t="s">
        <v>81</v>
      </c>
      <c r="N208" s="6" t="s">
        <v>25</v>
      </c>
      <c r="O208" s="5">
        <v>14</v>
      </c>
      <c r="P208" t="e">
        <v>#DIV/0!</v>
      </c>
      <c r="Q208" t="b">
        <v>0</v>
      </c>
      <c r="R208" s="5" t="str">
        <v>Odd</v>
      </c>
      <c r="S208">
        <f t="shared" si="11"/>
        <v>131</v>
      </c>
      <c r="T208" t="str">
        <v/>
      </c>
      <c r="U208" t="str">
        <v>Bad</v>
      </c>
      <c r="V208" t="b">
        <v>0</v>
      </c>
      <c r="W208" t="str" cm="1">
        <f t="array" ref="W208">IF(AND(D208:D556&gt;40, K208:K556&lt;300, H208:H556&lt;8000), "Not Eligible", "Eligible")</f>
        <v>Eligible</v>
      </c>
      <c r="X208" t="str">
        <f t="shared" si="12"/>
        <v>Bad</v>
      </c>
      <c r="Y208" t="str">
        <f t="shared" si="13"/>
        <v/>
      </c>
      <c r="Z208" t="b">
        <v>1</v>
      </c>
    </row>
    <row r="209" spans="1:26" x14ac:dyDescent="0.3">
      <c r="A209" s="5">
        <f t="shared" si="10"/>
        <v>208</v>
      </c>
      <c r="B209" s="7" t="s">
        <v>26</v>
      </c>
      <c r="C209" s="7" t="s">
        <v>168</v>
      </c>
      <c r="D209" s="6">
        <v>43</v>
      </c>
      <c r="E209" s="6" t="s">
        <v>14</v>
      </c>
      <c r="F209" s="6" t="s">
        <v>22</v>
      </c>
      <c r="G209" s="6">
        <v>11000</v>
      </c>
      <c r="H209" s="6">
        <v>74000</v>
      </c>
      <c r="I209" s="6" t="s">
        <v>23</v>
      </c>
      <c r="J209" s="6">
        <v>12000</v>
      </c>
      <c r="K209" s="6">
        <v>720</v>
      </c>
      <c r="L209" s="6" t="s">
        <v>31</v>
      </c>
      <c r="M209" s="6" t="s">
        <v>81</v>
      </c>
      <c r="N209" s="6" t="s">
        <v>18</v>
      </c>
      <c r="O209" s="5">
        <v>12</v>
      </c>
      <c r="P209">
        <v>6.166666666666667</v>
      </c>
      <c r="Q209" t="b">
        <v>1</v>
      </c>
      <c r="R209" s="5" t="str">
        <v>Odd</v>
      </c>
      <c r="S209">
        <f t="shared" si="11"/>
        <v>11</v>
      </c>
      <c r="T209" t="str">
        <v>Good</v>
      </c>
      <c r="U209" t="str">
        <v/>
      </c>
      <c r="V209" t="b">
        <v>0</v>
      </c>
      <c r="W209" t="str" cm="1">
        <f t="array" ref="W209">IF(AND(D209:D557&gt;40, K209:K557&lt;300, H209:H557&lt;8000), "Not Eligible", "Eligible")</f>
        <v>Eligible</v>
      </c>
      <c r="X209" t="str">
        <f t="shared" si="12"/>
        <v>Good</v>
      </c>
      <c r="Y209" t="str">
        <f t="shared" si="13"/>
        <v>In Progress</v>
      </c>
      <c r="Z209" t="b">
        <v>0</v>
      </c>
    </row>
    <row r="210" spans="1:26" x14ac:dyDescent="0.3">
      <c r="A210" s="5">
        <f t="shared" si="10"/>
        <v>209</v>
      </c>
      <c r="B210" s="7" t="s">
        <v>295</v>
      </c>
      <c r="C210" s="7" t="s">
        <v>59</v>
      </c>
      <c r="D210" s="6">
        <v>36</v>
      </c>
      <c r="E210" s="6" t="s">
        <v>21</v>
      </c>
      <c r="F210" s="6" t="s">
        <v>15</v>
      </c>
      <c r="G210" s="6">
        <v>8000</v>
      </c>
      <c r="H210" s="6">
        <v>63000</v>
      </c>
      <c r="I210" s="6" t="s">
        <v>16</v>
      </c>
      <c r="J210" s="6">
        <v>0</v>
      </c>
      <c r="K210" s="6">
        <v>710</v>
      </c>
      <c r="L210" s="6" t="s">
        <v>17</v>
      </c>
      <c r="M210" s="6" t="s">
        <v>80</v>
      </c>
      <c r="N210" s="6" t="s">
        <v>25</v>
      </c>
      <c r="O210" s="5">
        <v>11</v>
      </c>
      <c r="P210" t="e">
        <v>#DIV/0!</v>
      </c>
      <c r="Q210" t="b">
        <v>0</v>
      </c>
      <c r="R210" s="5" t="str">
        <v>Even</v>
      </c>
      <c r="S210">
        <f t="shared" si="11"/>
        <v>39</v>
      </c>
      <c r="T210" t="str">
        <v/>
      </c>
      <c r="U210" t="str">
        <v>Bad</v>
      </c>
      <c r="V210" t="b">
        <v>0</v>
      </c>
      <c r="W210" t="str" cm="1">
        <f t="array" ref="W210">IF(AND(D210:D558&gt;40, K210:K558&lt;300, H210:H558&lt;8000), "Not Eligible", "Eligible")</f>
        <v>Eligible</v>
      </c>
      <c r="X210" t="str">
        <f t="shared" si="12"/>
        <v>Bad</v>
      </c>
      <c r="Y210" t="str">
        <f t="shared" si="13"/>
        <v/>
      </c>
      <c r="Z210" t="b">
        <v>1</v>
      </c>
    </row>
    <row r="211" spans="1:26" x14ac:dyDescent="0.3">
      <c r="A211" s="5">
        <f t="shared" si="10"/>
        <v>210</v>
      </c>
      <c r="B211" s="7" t="s">
        <v>296</v>
      </c>
      <c r="C211" s="7" t="s">
        <v>154</v>
      </c>
      <c r="D211" s="6">
        <v>28</v>
      </c>
      <c r="E211" s="6" t="s">
        <v>14</v>
      </c>
      <c r="F211" s="6" t="s">
        <v>22</v>
      </c>
      <c r="G211" s="6">
        <v>2000</v>
      </c>
      <c r="H211" s="6">
        <v>47000</v>
      </c>
      <c r="I211" s="6" t="s">
        <v>23</v>
      </c>
      <c r="J211" s="6">
        <v>5000</v>
      </c>
      <c r="K211" s="6">
        <v>680</v>
      </c>
      <c r="L211" s="6" t="s">
        <v>24</v>
      </c>
      <c r="M211" s="6" t="s">
        <v>80</v>
      </c>
      <c r="N211" s="6" t="s">
        <v>18</v>
      </c>
      <c r="O211" s="5">
        <v>8</v>
      </c>
      <c r="P211">
        <v>9.4</v>
      </c>
      <c r="Q211" t="b">
        <v>1</v>
      </c>
      <c r="R211" s="5" t="str">
        <v>Even</v>
      </c>
      <c r="S211">
        <f t="shared" si="11"/>
        <v>102</v>
      </c>
      <c r="T211" t="str">
        <v>Good</v>
      </c>
      <c r="U211" t="str">
        <v/>
      </c>
      <c r="V211" t="b">
        <v>0</v>
      </c>
      <c r="W211" t="str" cm="1">
        <f t="array" ref="W211">IF(AND(D211:D559&gt;40, K211:K559&lt;300, H211:H559&lt;8000), "Not Eligible", "Eligible")</f>
        <v>Eligible</v>
      </c>
      <c r="X211" t="str">
        <f t="shared" si="12"/>
        <v>Bad</v>
      </c>
      <c r="Y211" t="str">
        <f t="shared" si="13"/>
        <v>In Progress</v>
      </c>
      <c r="Z211" t="b">
        <v>0</v>
      </c>
    </row>
    <row r="212" spans="1:26" x14ac:dyDescent="0.3">
      <c r="A212" s="5">
        <f t="shared" si="10"/>
        <v>211</v>
      </c>
      <c r="B212" s="7" t="s">
        <v>269</v>
      </c>
      <c r="C212" s="7" t="s">
        <v>268</v>
      </c>
      <c r="D212" s="6">
        <v>31</v>
      </c>
      <c r="E212" s="6" t="s">
        <v>21</v>
      </c>
      <c r="F212" s="6" t="s">
        <v>15</v>
      </c>
      <c r="G212" s="6">
        <v>4000</v>
      </c>
      <c r="H212" s="6">
        <v>55000</v>
      </c>
      <c r="I212" s="6" t="s">
        <v>16</v>
      </c>
      <c r="J212" s="6">
        <v>0</v>
      </c>
      <c r="K212" s="6">
        <v>690</v>
      </c>
      <c r="L212" s="6" t="s">
        <v>28</v>
      </c>
      <c r="M212" s="6" t="s">
        <v>81</v>
      </c>
      <c r="N212" s="6" t="s">
        <v>25</v>
      </c>
      <c r="O212" s="5">
        <v>4</v>
      </c>
      <c r="P212" t="e">
        <v>#DIV/0!</v>
      </c>
      <c r="Q212" t="b">
        <v>0</v>
      </c>
      <c r="R212" s="5" t="str">
        <v>Odd</v>
      </c>
      <c r="S212">
        <f t="shared" si="11"/>
        <v>78</v>
      </c>
      <c r="T212" t="str">
        <v/>
      </c>
      <c r="U212" t="str">
        <v>Bad</v>
      </c>
      <c r="V212" t="b">
        <v>0</v>
      </c>
      <c r="W212" t="str" cm="1">
        <f t="array" ref="W212">IF(AND(D212:D560&gt;40, K212:K560&lt;300, H212:H560&lt;8000), "Not Eligible", "Eligible")</f>
        <v>Eligible</v>
      </c>
      <c r="X212" t="str">
        <f t="shared" si="12"/>
        <v>Bad</v>
      </c>
      <c r="Y212" t="str">
        <f t="shared" si="13"/>
        <v/>
      </c>
      <c r="Z212" t="b">
        <v>1</v>
      </c>
    </row>
    <row r="213" spans="1:26" x14ac:dyDescent="0.3">
      <c r="A213" s="5">
        <f t="shared" si="10"/>
        <v>212</v>
      </c>
      <c r="B213" s="7" t="s">
        <v>149</v>
      </c>
      <c r="C213" s="7" t="s">
        <v>53</v>
      </c>
      <c r="D213" s="6">
        <v>44</v>
      </c>
      <c r="E213" s="6" t="s">
        <v>14</v>
      </c>
      <c r="F213" s="6" t="s">
        <v>22</v>
      </c>
      <c r="G213" s="6">
        <v>6000</v>
      </c>
      <c r="H213" s="6">
        <v>62000</v>
      </c>
      <c r="I213" s="6" t="s">
        <v>23</v>
      </c>
      <c r="J213" s="6">
        <v>10000</v>
      </c>
      <c r="K213" s="6">
        <v>700</v>
      </c>
      <c r="L213" s="6" t="s">
        <v>31</v>
      </c>
      <c r="M213" s="6" t="s">
        <v>81</v>
      </c>
      <c r="N213" s="6" t="s">
        <v>18</v>
      </c>
      <c r="O213" s="5">
        <v>13</v>
      </c>
      <c r="P213">
        <v>6.2</v>
      </c>
      <c r="Q213" t="b">
        <v>1</v>
      </c>
      <c r="R213" s="5" t="str">
        <v>Even</v>
      </c>
      <c r="S213">
        <f t="shared" si="11"/>
        <v>59</v>
      </c>
      <c r="T213" t="str">
        <v>Good</v>
      </c>
      <c r="U213" t="str">
        <v/>
      </c>
      <c r="V213" t="b">
        <v>0</v>
      </c>
      <c r="W213" t="str" cm="1">
        <f t="array" ref="W213">IF(AND(D213:D561&gt;40, K213:K561&lt;300, H213:H561&lt;8000), "Not Eligible", "Eligible")</f>
        <v>Eligible</v>
      </c>
      <c r="X213" t="str">
        <f t="shared" si="12"/>
        <v>Good</v>
      </c>
      <c r="Y213" t="str">
        <f t="shared" si="13"/>
        <v>In Progress</v>
      </c>
      <c r="Z213" t="b">
        <v>0</v>
      </c>
    </row>
    <row r="214" spans="1:26" x14ac:dyDescent="0.3">
      <c r="A214" s="5">
        <f t="shared" si="10"/>
        <v>213</v>
      </c>
      <c r="B214" s="7" t="s">
        <v>297</v>
      </c>
      <c r="C214" s="7" t="s">
        <v>168</v>
      </c>
      <c r="D214" s="6">
        <v>39</v>
      </c>
      <c r="E214" s="6" t="s">
        <v>21</v>
      </c>
      <c r="F214" s="6" t="s">
        <v>15</v>
      </c>
      <c r="G214" s="6">
        <v>9000</v>
      </c>
      <c r="H214" s="6">
        <v>67000</v>
      </c>
      <c r="I214" s="6" t="s">
        <v>16</v>
      </c>
      <c r="J214" s="6">
        <v>0</v>
      </c>
      <c r="K214" s="6">
        <v>720</v>
      </c>
      <c r="L214" s="6" t="s">
        <v>17</v>
      </c>
      <c r="M214" s="6" t="s">
        <v>81</v>
      </c>
      <c r="N214" s="6" t="s">
        <v>25</v>
      </c>
      <c r="O214" s="5">
        <v>7</v>
      </c>
      <c r="P214" t="e">
        <v>#DIV/0!</v>
      </c>
      <c r="Q214" t="b">
        <v>0</v>
      </c>
      <c r="R214" s="5" t="str">
        <v>Odd</v>
      </c>
      <c r="S214">
        <f t="shared" si="11"/>
        <v>11</v>
      </c>
      <c r="T214" t="str">
        <v/>
      </c>
      <c r="U214" t="str">
        <v>Bad</v>
      </c>
      <c r="V214" t="b">
        <v>0</v>
      </c>
      <c r="W214" t="str" cm="1">
        <f t="array" ref="W214">IF(AND(D214:D562&gt;40, K214:K562&lt;300, H214:H562&lt;8000), "Not Eligible", "Eligible")</f>
        <v>Eligible</v>
      </c>
      <c r="X214" t="str">
        <f t="shared" si="12"/>
        <v>Bad</v>
      </c>
      <c r="Y214" t="str">
        <f t="shared" si="13"/>
        <v/>
      </c>
      <c r="Z214" t="b">
        <v>1</v>
      </c>
    </row>
    <row r="215" spans="1:26" x14ac:dyDescent="0.3">
      <c r="A215" s="5">
        <f t="shared" si="10"/>
        <v>214</v>
      </c>
      <c r="B215" s="7" t="s">
        <v>273</v>
      </c>
      <c r="C215" s="7" t="s">
        <v>254</v>
      </c>
      <c r="D215" s="6">
        <v>27</v>
      </c>
      <c r="E215" s="6" t="s">
        <v>14</v>
      </c>
      <c r="F215" s="6" t="s">
        <v>22</v>
      </c>
      <c r="G215" s="6">
        <v>2500</v>
      </c>
      <c r="H215" s="6">
        <v>49000</v>
      </c>
      <c r="I215" s="6" t="s">
        <v>23</v>
      </c>
      <c r="J215" s="6">
        <v>7000</v>
      </c>
      <c r="K215" s="6">
        <v>680</v>
      </c>
      <c r="L215" s="6" t="s">
        <v>24</v>
      </c>
      <c r="M215" s="6" t="s">
        <v>82</v>
      </c>
      <c r="N215" s="6" t="s">
        <v>18</v>
      </c>
      <c r="O215" s="5">
        <v>4</v>
      </c>
      <c r="P215">
        <v>7</v>
      </c>
      <c r="Q215" t="b">
        <v>1</v>
      </c>
      <c r="R215" s="5" t="str">
        <v>Odd</v>
      </c>
      <c r="S215">
        <f t="shared" si="11"/>
        <v>99</v>
      </c>
      <c r="T215" t="str">
        <v>Good</v>
      </c>
      <c r="U215" t="str">
        <v/>
      </c>
      <c r="V215" t="b">
        <v>0</v>
      </c>
      <c r="W215" t="str" cm="1">
        <f t="array" ref="W215">IF(AND(D215:D563&gt;40, K215:K563&lt;300, H215:H563&lt;8000), "Not Eligible", "Eligible")</f>
        <v>Eligible</v>
      </c>
      <c r="X215" t="str">
        <f t="shared" si="12"/>
        <v>Good</v>
      </c>
      <c r="Y215" t="str">
        <f t="shared" si="13"/>
        <v>In Progress</v>
      </c>
      <c r="Z215" t="b">
        <v>0</v>
      </c>
    </row>
    <row r="216" spans="1:26" x14ac:dyDescent="0.3">
      <c r="A216" s="5">
        <f t="shared" si="10"/>
        <v>215</v>
      </c>
      <c r="B216" s="7" t="s">
        <v>298</v>
      </c>
      <c r="C216" s="7" t="s">
        <v>174</v>
      </c>
      <c r="D216" s="6">
        <v>40</v>
      </c>
      <c r="E216" s="6" t="s">
        <v>21</v>
      </c>
      <c r="F216" s="6" t="s">
        <v>15</v>
      </c>
      <c r="G216" s="6">
        <v>7000</v>
      </c>
      <c r="H216" s="6">
        <v>71000</v>
      </c>
      <c r="I216" s="6" t="s">
        <v>16</v>
      </c>
      <c r="J216" s="6">
        <v>0</v>
      </c>
      <c r="K216" s="6">
        <v>710</v>
      </c>
      <c r="L216" s="6" t="s">
        <v>28</v>
      </c>
      <c r="M216" s="6" t="s">
        <v>82</v>
      </c>
      <c r="N216" s="6" t="s">
        <v>25</v>
      </c>
      <c r="O216" s="5">
        <v>14</v>
      </c>
      <c r="P216" t="e">
        <v>#DIV/0!</v>
      </c>
      <c r="Q216" t="b">
        <v>0</v>
      </c>
      <c r="R216" s="5" t="str">
        <v>Even</v>
      </c>
      <c r="S216">
        <f t="shared" si="11"/>
        <v>38</v>
      </c>
      <c r="T216" t="str">
        <v/>
      </c>
      <c r="U216" t="str">
        <v>Bad</v>
      </c>
      <c r="V216" t="b">
        <v>0</v>
      </c>
      <c r="W216" t="str" cm="1">
        <f t="array" ref="W216">IF(AND(D216:D564&gt;40, K216:K564&lt;300, H216:H564&lt;8000), "Not Eligible", "Eligible")</f>
        <v>Eligible</v>
      </c>
      <c r="X216" t="str">
        <f t="shared" si="12"/>
        <v>Bad</v>
      </c>
      <c r="Y216" t="str">
        <f t="shared" si="13"/>
        <v/>
      </c>
      <c r="Z216" t="b">
        <v>1</v>
      </c>
    </row>
    <row r="217" spans="1:26" x14ac:dyDescent="0.3">
      <c r="A217" s="5">
        <f t="shared" ref="A217:A280" si="14">ROW()-1</f>
        <v>216</v>
      </c>
      <c r="B217" s="7" t="s">
        <v>299</v>
      </c>
      <c r="C217" s="7" t="s">
        <v>196</v>
      </c>
      <c r="D217" s="6">
        <v>34</v>
      </c>
      <c r="E217" s="6" t="s">
        <v>14</v>
      </c>
      <c r="F217" s="6" t="s">
        <v>22</v>
      </c>
      <c r="G217" s="6">
        <v>15000</v>
      </c>
      <c r="H217" s="6">
        <v>73000</v>
      </c>
      <c r="I217" s="6" t="s">
        <v>23</v>
      </c>
      <c r="J217" s="6">
        <v>13000</v>
      </c>
      <c r="K217" s="6">
        <v>720</v>
      </c>
      <c r="L217" s="6" t="s">
        <v>31</v>
      </c>
      <c r="M217" s="6" t="s">
        <v>82</v>
      </c>
      <c r="N217" s="6" t="s">
        <v>18</v>
      </c>
      <c r="O217" s="5">
        <v>5</v>
      </c>
      <c r="P217">
        <v>5.615384615384615</v>
      </c>
      <c r="Q217" t="b">
        <v>1</v>
      </c>
      <c r="R217" s="5" t="str">
        <v>Even</v>
      </c>
      <c r="S217">
        <f t="shared" si="11"/>
        <v>11</v>
      </c>
      <c r="T217" t="str">
        <v>Good</v>
      </c>
      <c r="U217" t="str">
        <v/>
      </c>
      <c r="V217" t="b">
        <v>0</v>
      </c>
      <c r="W217" t="str" cm="1">
        <f t="array" ref="W217">IF(AND(D217:D565&gt;40, K217:K565&lt;300, H217:H565&lt;8000), "Not Eligible", "Eligible")</f>
        <v>Eligible</v>
      </c>
      <c r="X217" t="str">
        <f t="shared" si="12"/>
        <v>Good</v>
      </c>
      <c r="Y217" t="str">
        <f t="shared" si="13"/>
        <v>In Progress</v>
      </c>
      <c r="Z217" t="b">
        <v>0</v>
      </c>
    </row>
    <row r="218" spans="1:26" x14ac:dyDescent="0.3">
      <c r="A218" s="5">
        <f t="shared" si="14"/>
        <v>217</v>
      </c>
      <c r="B218" s="7" t="s">
        <v>236</v>
      </c>
      <c r="C218" s="7" t="s">
        <v>182</v>
      </c>
      <c r="D218" s="6">
        <v>29</v>
      </c>
      <c r="E218" s="6" t="s">
        <v>21</v>
      </c>
      <c r="F218" s="6" t="s">
        <v>15</v>
      </c>
      <c r="G218" s="6">
        <v>2500</v>
      </c>
      <c r="H218" s="6">
        <v>47000</v>
      </c>
      <c r="I218" s="6" t="s">
        <v>16</v>
      </c>
      <c r="J218" s="6">
        <v>0</v>
      </c>
      <c r="K218" s="6">
        <v>680</v>
      </c>
      <c r="L218" s="6" t="s">
        <v>17</v>
      </c>
      <c r="M218" s="6" t="s">
        <v>80</v>
      </c>
      <c r="N218" s="6" t="s">
        <v>25</v>
      </c>
      <c r="O218" s="5">
        <v>10</v>
      </c>
      <c r="P218" t="e">
        <v>#DIV/0!</v>
      </c>
      <c r="Q218" t="b">
        <v>0</v>
      </c>
      <c r="R218" s="5" t="str">
        <v>Odd</v>
      </c>
      <c r="S218">
        <f t="shared" si="11"/>
        <v>97</v>
      </c>
      <c r="T218" t="str">
        <v/>
      </c>
      <c r="U218" t="str">
        <v>Bad</v>
      </c>
      <c r="V218" t="b">
        <v>0</v>
      </c>
      <c r="W218" t="str" cm="1">
        <f t="array" ref="W218">IF(AND(D218:D566&gt;40, K218:K566&lt;300, H218:H566&lt;8000), "Not Eligible", "Eligible")</f>
        <v>Eligible</v>
      </c>
      <c r="X218" t="str">
        <f t="shared" si="12"/>
        <v>Bad</v>
      </c>
      <c r="Y218" t="str">
        <f t="shared" si="13"/>
        <v/>
      </c>
      <c r="Z218" t="b">
        <v>1</v>
      </c>
    </row>
    <row r="219" spans="1:26" x14ac:dyDescent="0.3">
      <c r="A219" s="5">
        <f t="shared" si="14"/>
        <v>218</v>
      </c>
      <c r="B219" s="7" t="s">
        <v>179</v>
      </c>
      <c r="C219" s="7" t="s">
        <v>213</v>
      </c>
      <c r="D219" s="6">
        <v>31</v>
      </c>
      <c r="E219" s="6" t="s">
        <v>14</v>
      </c>
      <c r="F219" s="6" t="s">
        <v>22</v>
      </c>
      <c r="G219" s="6">
        <v>5000</v>
      </c>
      <c r="H219" s="6">
        <v>53000</v>
      </c>
      <c r="I219" s="6" t="s">
        <v>23</v>
      </c>
      <c r="J219" s="6">
        <v>8000</v>
      </c>
      <c r="K219" s="6">
        <v>690</v>
      </c>
      <c r="L219" s="6" t="s">
        <v>24</v>
      </c>
      <c r="M219" s="6" t="s">
        <v>80</v>
      </c>
      <c r="N219" s="6" t="s">
        <v>18</v>
      </c>
      <c r="O219" s="5">
        <v>10</v>
      </c>
      <c r="P219">
        <v>6.625</v>
      </c>
      <c r="Q219" t="b">
        <v>1</v>
      </c>
      <c r="R219" s="5" t="str">
        <v>Odd</v>
      </c>
      <c r="S219">
        <f t="shared" si="11"/>
        <v>74</v>
      </c>
      <c r="T219" t="str">
        <v>Good</v>
      </c>
      <c r="U219" t="str">
        <v/>
      </c>
      <c r="V219" t="b">
        <v>0</v>
      </c>
      <c r="W219" t="str" cm="1">
        <f t="array" ref="W219">IF(AND(D219:D567&gt;40, K219:K567&lt;300, H219:H567&lt;8000), "Not Eligible", "Eligible")</f>
        <v>Eligible</v>
      </c>
      <c r="X219" t="str">
        <f t="shared" si="12"/>
        <v>Good</v>
      </c>
      <c r="Y219" t="str">
        <f t="shared" si="13"/>
        <v>In Progress</v>
      </c>
      <c r="Z219" t="b">
        <v>0</v>
      </c>
    </row>
    <row r="220" spans="1:26" x14ac:dyDescent="0.3">
      <c r="A220" s="5">
        <f t="shared" si="14"/>
        <v>219</v>
      </c>
      <c r="B220" s="7" t="s">
        <v>185</v>
      </c>
      <c r="C220" s="7" t="s">
        <v>168</v>
      </c>
      <c r="D220" s="6">
        <v>42</v>
      </c>
      <c r="E220" s="6" t="s">
        <v>21</v>
      </c>
      <c r="F220" s="6" t="s">
        <v>15</v>
      </c>
      <c r="G220" s="6">
        <v>6000</v>
      </c>
      <c r="H220" s="6">
        <v>69000</v>
      </c>
      <c r="I220" s="6" t="s">
        <v>16</v>
      </c>
      <c r="J220" s="6">
        <v>0</v>
      </c>
      <c r="K220" s="6">
        <v>720</v>
      </c>
      <c r="L220" s="6" t="s">
        <v>28</v>
      </c>
      <c r="M220" s="6" t="s">
        <v>80</v>
      </c>
      <c r="N220" s="6" t="s">
        <v>25</v>
      </c>
      <c r="O220" s="5">
        <v>7</v>
      </c>
      <c r="P220" t="e">
        <v>#DIV/0!</v>
      </c>
      <c r="Q220" t="b">
        <v>0</v>
      </c>
      <c r="R220" s="5" t="str">
        <v>Even</v>
      </c>
      <c r="S220">
        <f t="shared" si="11"/>
        <v>11</v>
      </c>
      <c r="T220" t="str">
        <v/>
      </c>
      <c r="U220" t="str">
        <v>Bad</v>
      </c>
      <c r="V220" t="b">
        <v>0</v>
      </c>
      <c r="W220" t="str" cm="1">
        <f t="array" ref="W220">IF(AND(D220:D568&gt;40, K220:K568&lt;300, H220:H568&lt;8000), "Not Eligible", "Eligible")</f>
        <v>Eligible</v>
      </c>
      <c r="X220" t="str">
        <f t="shared" si="12"/>
        <v>Bad</v>
      </c>
      <c r="Y220" t="str">
        <f t="shared" si="13"/>
        <v/>
      </c>
      <c r="Z220" t="b">
        <v>1</v>
      </c>
    </row>
    <row r="221" spans="1:26" x14ac:dyDescent="0.3">
      <c r="A221" s="5">
        <f t="shared" si="14"/>
        <v>220</v>
      </c>
      <c r="B221" s="7" t="s">
        <v>77</v>
      </c>
      <c r="C221" s="7" t="s">
        <v>184</v>
      </c>
      <c r="D221" s="6">
        <v>36</v>
      </c>
      <c r="E221" s="6" t="s">
        <v>14</v>
      </c>
      <c r="F221" s="6" t="s">
        <v>22</v>
      </c>
      <c r="G221" s="6">
        <v>2000</v>
      </c>
      <c r="H221" s="6">
        <v>45000</v>
      </c>
      <c r="I221" s="6" t="s">
        <v>23</v>
      </c>
      <c r="J221" s="6">
        <v>5000</v>
      </c>
      <c r="K221" s="6">
        <v>700</v>
      </c>
      <c r="L221" s="6" t="s">
        <v>31</v>
      </c>
      <c r="M221" s="6" t="s">
        <v>80</v>
      </c>
      <c r="N221" s="6" t="s">
        <v>18</v>
      </c>
      <c r="O221" s="5">
        <v>5</v>
      </c>
      <c r="P221">
        <v>9</v>
      </c>
      <c r="Q221" t="b">
        <v>1</v>
      </c>
      <c r="R221" s="5" t="str">
        <v>Even</v>
      </c>
      <c r="S221">
        <f t="shared" si="11"/>
        <v>55</v>
      </c>
      <c r="T221" t="str">
        <v>Good</v>
      </c>
      <c r="U221" t="str">
        <v/>
      </c>
      <c r="V221" t="b">
        <v>0</v>
      </c>
      <c r="W221" t="str" cm="1">
        <f t="array" ref="W221">IF(AND(D221:D569&gt;40, K221:K569&lt;300, H221:H569&lt;8000), "Not Eligible", "Eligible")</f>
        <v>Eligible</v>
      </c>
      <c r="X221" t="str">
        <f t="shared" si="12"/>
        <v>Bad</v>
      </c>
      <c r="Y221" t="str">
        <f t="shared" si="13"/>
        <v>In Progress</v>
      </c>
      <c r="Z221" t="b">
        <v>0</v>
      </c>
    </row>
    <row r="222" spans="1:26" x14ac:dyDescent="0.3">
      <c r="A222" s="5">
        <f t="shared" si="14"/>
        <v>221</v>
      </c>
      <c r="B222" s="7" t="s">
        <v>300</v>
      </c>
      <c r="C222" s="7" t="s">
        <v>63</v>
      </c>
      <c r="D222" s="6">
        <v>48</v>
      </c>
      <c r="E222" s="6" t="s">
        <v>21</v>
      </c>
      <c r="F222" s="6" t="s">
        <v>15</v>
      </c>
      <c r="G222" s="6">
        <v>8000</v>
      </c>
      <c r="H222" s="6">
        <v>74000</v>
      </c>
      <c r="I222" s="6" t="s">
        <v>16</v>
      </c>
      <c r="J222" s="6">
        <v>0</v>
      </c>
      <c r="K222" s="6">
        <v>680</v>
      </c>
      <c r="L222" s="6" t="s">
        <v>17</v>
      </c>
      <c r="M222" s="6" t="s">
        <v>81</v>
      </c>
      <c r="N222" s="6" t="s">
        <v>25</v>
      </c>
      <c r="O222" s="5">
        <v>15</v>
      </c>
      <c r="P222" t="e">
        <v>#DIV/0!</v>
      </c>
      <c r="Q222" t="b">
        <v>0</v>
      </c>
      <c r="R222" s="5" t="str">
        <v>Even</v>
      </c>
      <c r="S222">
        <f t="shared" si="11"/>
        <v>94</v>
      </c>
      <c r="T222" t="str">
        <v/>
      </c>
      <c r="U222" t="str">
        <v>Bad</v>
      </c>
      <c r="V222" t="b">
        <v>0</v>
      </c>
      <c r="W222" t="str" cm="1">
        <f t="array" ref="W222">IF(AND(D222:D570&gt;40, K222:K570&lt;300, H222:H570&lt;8000), "Not Eligible", "Eligible")</f>
        <v>Eligible</v>
      </c>
      <c r="X222" t="str">
        <f t="shared" si="12"/>
        <v>Bad</v>
      </c>
      <c r="Y222" t="str">
        <f t="shared" si="13"/>
        <v/>
      </c>
      <c r="Z222" t="b">
        <v>1</v>
      </c>
    </row>
    <row r="223" spans="1:26" x14ac:dyDescent="0.3">
      <c r="A223" s="5">
        <f t="shared" si="14"/>
        <v>222</v>
      </c>
      <c r="B223" s="7" t="s">
        <v>282</v>
      </c>
      <c r="C223" s="7" t="s">
        <v>45</v>
      </c>
      <c r="D223" s="6">
        <v>33</v>
      </c>
      <c r="E223" s="6" t="s">
        <v>14</v>
      </c>
      <c r="F223" s="6" t="s">
        <v>22</v>
      </c>
      <c r="G223" s="6">
        <v>4000</v>
      </c>
      <c r="H223" s="6">
        <v>60000</v>
      </c>
      <c r="I223" s="6" t="s">
        <v>23</v>
      </c>
      <c r="J223" s="6">
        <v>8000</v>
      </c>
      <c r="K223" s="6">
        <v>720</v>
      </c>
      <c r="L223" s="6" t="s">
        <v>24</v>
      </c>
      <c r="M223" s="6" t="s">
        <v>81</v>
      </c>
      <c r="N223" s="6" t="s">
        <v>18</v>
      </c>
      <c r="O223" s="5">
        <v>4</v>
      </c>
      <c r="P223">
        <v>7.5</v>
      </c>
      <c r="Q223" t="b">
        <v>1</v>
      </c>
      <c r="R223" s="5" t="str">
        <v>Odd</v>
      </c>
      <c r="S223">
        <f t="shared" si="11"/>
        <v>11</v>
      </c>
      <c r="T223" t="str">
        <v>Good</v>
      </c>
      <c r="U223" t="str">
        <v/>
      </c>
      <c r="V223" t="b">
        <v>0</v>
      </c>
      <c r="W223" t="str" cm="1">
        <f t="array" ref="W223">IF(AND(D223:D571&gt;40, K223:K571&lt;300, H223:H571&lt;8000), "Not Eligible", "Eligible")</f>
        <v>Eligible</v>
      </c>
      <c r="X223" t="str">
        <f t="shared" si="12"/>
        <v>Good</v>
      </c>
      <c r="Y223" t="str">
        <f t="shared" si="13"/>
        <v>In Progress</v>
      </c>
      <c r="Z223" t="b">
        <v>0</v>
      </c>
    </row>
    <row r="224" spans="1:26" x14ac:dyDescent="0.3">
      <c r="A224" s="5">
        <f t="shared" si="14"/>
        <v>223</v>
      </c>
      <c r="B224" s="7" t="s">
        <v>301</v>
      </c>
      <c r="C224" s="7" t="s">
        <v>38</v>
      </c>
      <c r="D224" s="6">
        <v>29</v>
      </c>
      <c r="E224" s="6" t="s">
        <v>21</v>
      </c>
      <c r="F224" s="6" t="s">
        <v>15</v>
      </c>
      <c r="G224" s="6">
        <v>3500</v>
      </c>
      <c r="H224" s="6">
        <v>55000</v>
      </c>
      <c r="I224" s="6" t="s">
        <v>16</v>
      </c>
      <c r="J224" s="6">
        <v>0</v>
      </c>
      <c r="K224" s="6">
        <v>690</v>
      </c>
      <c r="L224" s="6" t="s">
        <v>28</v>
      </c>
      <c r="M224" s="6" t="s">
        <v>81</v>
      </c>
      <c r="N224" s="6" t="s">
        <v>25</v>
      </c>
      <c r="O224" s="5">
        <v>15</v>
      </c>
      <c r="P224" t="e">
        <v>#DIV/0!</v>
      </c>
      <c r="Q224" t="b">
        <v>0</v>
      </c>
      <c r="R224" s="5" t="str">
        <v>Odd</v>
      </c>
      <c r="S224">
        <f t="shared" si="11"/>
        <v>71</v>
      </c>
      <c r="T224" t="str">
        <v/>
      </c>
      <c r="U224" t="str">
        <v>Bad</v>
      </c>
      <c r="V224" t="b">
        <v>0</v>
      </c>
      <c r="W224" t="str" cm="1">
        <f t="array" ref="W224">IF(AND(D224:D572&gt;40, K224:K572&lt;300, H224:H572&lt;8000), "Not Eligible", "Eligible")</f>
        <v>Eligible</v>
      </c>
      <c r="X224" t="str">
        <f t="shared" si="12"/>
        <v>Bad</v>
      </c>
      <c r="Y224" t="str">
        <f t="shared" si="13"/>
        <v/>
      </c>
      <c r="Z224" t="b">
        <v>1</v>
      </c>
    </row>
    <row r="225" spans="1:26" x14ac:dyDescent="0.3">
      <c r="A225" s="5">
        <f t="shared" si="14"/>
        <v>224</v>
      </c>
      <c r="B225" s="7" t="s">
        <v>302</v>
      </c>
      <c r="C225" s="7" t="s">
        <v>188</v>
      </c>
      <c r="D225" s="6">
        <v>37</v>
      </c>
      <c r="E225" s="6" t="s">
        <v>14</v>
      </c>
      <c r="F225" s="6" t="s">
        <v>15</v>
      </c>
      <c r="G225" s="6">
        <v>10000</v>
      </c>
      <c r="H225" s="6">
        <v>67000</v>
      </c>
      <c r="I225" s="6" t="s">
        <v>23</v>
      </c>
      <c r="J225" s="6">
        <v>12000</v>
      </c>
      <c r="K225" s="6">
        <v>710</v>
      </c>
      <c r="L225" s="6" t="s">
        <v>31</v>
      </c>
      <c r="M225" s="6" t="s">
        <v>81</v>
      </c>
      <c r="N225" s="6" t="s">
        <v>18</v>
      </c>
      <c r="O225" s="5">
        <v>3</v>
      </c>
      <c r="P225">
        <v>5.583333333333333</v>
      </c>
      <c r="Q225" t="b">
        <v>1</v>
      </c>
      <c r="R225" s="5" t="str">
        <v>Odd</v>
      </c>
      <c r="S225">
        <f t="shared" si="11"/>
        <v>35</v>
      </c>
      <c r="T225" t="str">
        <v>Good</v>
      </c>
      <c r="U225" t="str">
        <v/>
      </c>
      <c r="V225" t="b">
        <v>0</v>
      </c>
      <c r="W225" t="str" cm="1">
        <f t="array" ref="W225">IF(AND(D225:D573&gt;40, K225:K573&lt;300, H225:H573&lt;8000), "Not Eligible", "Eligible")</f>
        <v>Eligible</v>
      </c>
      <c r="X225" t="str">
        <f t="shared" si="12"/>
        <v>Good</v>
      </c>
      <c r="Y225" t="str">
        <f t="shared" si="13"/>
        <v>In Progress</v>
      </c>
      <c r="Z225" t="b">
        <v>0</v>
      </c>
    </row>
    <row r="226" spans="1:26" x14ac:dyDescent="0.3">
      <c r="A226" s="5">
        <f t="shared" si="14"/>
        <v>225</v>
      </c>
      <c r="B226" s="7" t="s">
        <v>303</v>
      </c>
      <c r="C226" s="7" t="s">
        <v>254</v>
      </c>
      <c r="D226" s="6">
        <v>34</v>
      </c>
      <c r="E226" s="6" t="s">
        <v>21</v>
      </c>
      <c r="F226" s="6" t="s">
        <v>15</v>
      </c>
      <c r="G226" s="6">
        <v>3000</v>
      </c>
      <c r="H226" s="6">
        <v>48000</v>
      </c>
      <c r="I226" s="6" t="s">
        <v>16</v>
      </c>
      <c r="J226" s="6">
        <v>0</v>
      </c>
      <c r="K226" s="6">
        <v>680</v>
      </c>
      <c r="L226" s="6" t="s">
        <v>17</v>
      </c>
      <c r="M226" s="6" t="s">
        <v>82</v>
      </c>
      <c r="N226" s="6" t="s">
        <v>25</v>
      </c>
      <c r="O226" s="5">
        <v>14</v>
      </c>
      <c r="P226" t="e">
        <v>#DIV/0!</v>
      </c>
      <c r="Q226" t="b">
        <v>0</v>
      </c>
      <c r="R226" s="5" t="str">
        <v>Even</v>
      </c>
      <c r="S226">
        <f t="shared" si="11"/>
        <v>91</v>
      </c>
      <c r="T226" t="str">
        <v/>
      </c>
      <c r="U226" t="str">
        <v>Bad</v>
      </c>
      <c r="V226" t="b">
        <v>0</v>
      </c>
      <c r="W226" t="str" cm="1">
        <f t="array" ref="W226">IF(AND(D226:D574&gt;40, K226:K574&lt;300, H226:H574&lt;8000), "Not Eligible", "Eligible")</f>
        <v>Eligible</v>
      </c>
      <c r="X226" t="str">
        <f t="shared" si="12"/>
        <v>Bad</v>
      </c>
      <c r="Y226" t="str">
        <f t="shared" si="13"/>
        <v/>
      </c>
      <c r="Z226" t="b">
        <v>1</v>
      </c>
    </row>
    <row r="227" spans="1:26" x14ac:dyDescent="0.3">
      <c r="A227" s="5">
        <f t="shared" si="14"/>
        <v>226</v>
      </c>
      <c r="B227" s="7" t="s">
        <v>304</v>
      </c>
      <c r="C227" s="7" t="s">
        <v>71</v>
      </c>
      <c r="D227" s="6">
        <v>45</v>
      </c>
      <c r="E227" s="6" t="s">
        <v>14</v>
      </c>
      <c r="F227" s="6" t="s">
        <v>15</v>
      </c>
      <c r="G227" s="6">
        <v>6000</v>
      </c>
      <c r="H227" s="6">
        <v>70000</v>
      </c>
      <c r="I227" s="6" t="s">
        <v>23</v>
      </c>
      <c r="J227" s="6">
        <v>15000</v>
      </c>
      <c r="K227" s="6">
        <v>690</v>
      </c>
      <c r="L227" s="6" t="s">
        <v>24</v>
      </c>
      <c r="M227" s="6" t="s">
        <v>82</v>
      </c>
      <c r="N227" s="6" t="s">
        <v>18</v>
      </c>
      <c r="O227" s="5">
        <v>8</v>
      </c>
      <c r="P227">
        <v>4.666666666666667</v>
      </c>
      <c r="Q227" t="b">
        <v>1</v>
      </c>
      <c r="R227" s="5" t="str">
        <v>Odd</v>
      </c>
      <c r="S227">
        <f t="shared" si="11"/>
        <v>70</v>
      </c>
      <c r="T227" t="str">
        <v>Good</v>
      </c>
      <c r="U227" t="str">
        <v/>
      </c>
      <c r="V227" t="b">
        <v>0</v>
      </c>
      <c r="W227" t="str" cm="1">
        <f t="array" ref="W227">IF(AND(D227:D575&gt;40, K227:K575&lt;300, H227:H575&lt;8000), "Not Eligible", "Eligible")</f>
        <v>Eligible</v>
      </c>
      <c r="X227" t="str">
        <f t="shared" si="12"/>
        <v>Good</v>
      </c>
      <c r="Y227" t="str">
        <f t="shared" si="13"/>
        <v>In Progress</v>
      </c>
      <c r="Z227" t="b">
        <v>0</v>
      </c>
    </row>
    <row r="228" spans="1:26" x14ac:dyDescent="0.3">
      <c r="A228" s="5">
        <f t="shared" si="14"/>
        <v>227</v>
      </c>
      <c r="B228" s="7" t="s">
        <v>305</v>
      </c>
      <c r="C228" s="7" t="s">
        <v>39</v>
      </c>
      <c r="D228" s="6">
        <v>28</v>
      </c>
      <c r="E228" s="6" t="s">
        <v>21</v>
      </c>
      <c r="F228" s="6" t="s">
        <v>15</v>
      </c>
      <c r="G228" s="6">
        <v>5500</v>
      </c>
      <c r="H228" s="6">
        <v>62000</v>
      </c>
      <c r="I228" s="6" t="s">
        <v>16</v>
      </c>
      <c r="J228" s="6">
        <v>0</v>
      </c>
      <c r="K228" s="6">
        <v>700</v>
      </c>
      <c r="L228" s="6" t="s">
        <v>28</v>
      </c>
      <c r="M228" s="6" t="s">
        <v>82</v>
      </c>
      <c r="N228" s="6" t="s">
        <v>25</v>
      </c>
      <c r="O228" s="5">
        <v>15</v>
      </c>
      <c r="P228" t="e">
        <v>#DIV/0!</v>
      </c>
      <c r="Q228" t="b">
        <v>0</v>
      </c>
      <c r="R228" s="5" t="str">
        <v>Even</v>
      </c>
      <c r="S228">
        <f t="shared" si="11"/>
        <v>53</v>
      </c>
      <c r="T228" t="str">
        <v/>
      </c>
      <c r="U228" t="str">
        <v>Bad</v>
      </c>
      <c r="V228" t="b">
        <v>0</v>
      </c>
      <c r="W228" t="str" cm="1">
        <f t="array" ref="W228">IF(AND(D228:D576&gt;40, K228:K576&lt;300, H228:H576&lt;8000), "Not Eligible", "Eligible")</f>
        <v>Eligible</v>
      </c>
      <c r="X228" t="str">
        <f t="shared" si="12"/>
        <v>Bad</v>
      </c>
      <c r="Y228" t="str">
        <f t="shared" si="13"/>
        <v/>
      </c>
      <c r="Z228" t="b">
        <v>1</v>
      </c>
    </row>
    <row r="229" spans="1:26" x14ac:dyDescent="0.3">
      <c r="A229" s="5">
        <f t="shared" si="14"/>
        <v>228</v>
      </c>
      <c r="B229" s="7" t="s">
        <v>217</v>
      </c>
      <c r="C229" s="7" t="s">
        <v>230</v>
      </c>
      <c r="D229" s="6">
        <v>42</v>
      </c>
      <c r="E229" s="6" t="s">
        <v>14</v>
      </c>
      <c r="F229" s="6" t="s">
        <v>22</v>
      </c>
      <c r="G229" s="6">
        <v>8000</v>
      </c>
      <c r="H229" s="6">
        <v>73000</v>
      </c>
      <c r="I229" s="6" t="s">
        <v>23</v>
      </c>
      <c r="J229" s="6">
        <v>10000</v>
      </c>
      <c r="K229" s="6">
        <v>720</v>
      </c>
      <c r="L229" s="6" t="s">
        <v>31</v>
      </c>
      <c r="M229" s="6" t="s">
        <v>82</v>
      </c>
      <c r="N229" s="6" t="s">
        <v>18</v>
      </c>
      <c r="O229" s="5">
        <v>9</v>
      </c>
      <c r="P229">
        <v>7.3</v>
      </c>
      <c r="Q229" t="b">
        <v>1</v>
      </c>
      <c r="R229" s="5" t="str">
        <v>Even</v>
      </c>
      <c r="S229">
        <f t="shared" si="11"/>
        <v>11</v>
      </c>
      <c r="T229" t="str">
        <v>Good</v>
      </c>
      <c r="U229" t="str">
        <v/>
      </c>
      <c r="V229" t="b">
        <v>0</v>
      </c>
      <c r="W229" t="str" cm="1">
        <f t="array" ref="W229">IF(AND(D229:D577&gt;40, K229:K577&lt;300, H229:H577&lt;8000), "Not Eligible", "Eligible")</f>
        <v>Eligible</v>
      </c>
      <c r="X229" t="str">
        <f t="shared" si="12"/>
        <v>Good</v>
      </c>
      <c r="Y229" t="str">
        <f t="shared" si="13"/>
        <v>In Progress</v>
      </c>
      <c r="Z229" t="b">
        <v>0</v>
      </c>
    </row>
    <row r="230" spans="1:26" x14ac:dyDescent="0.3">
      <c r="A230" s="5">
        <f t="shared" si="14"/>
        <v>229</v>
      </c>
      <c r="B230" s="7" t="s">
        <v>306</v>
      </c>
      <c r="C230" s="7" t="s">
        <v>196</v>
      </c>
      <c r="D230" s="6">
        <v>31</v>
      </c>
      <c r="E230" s="6" t="s">
        <v>21</v>
      </c>
      <c r="F230" s="6" t="s">
        <v>15</v>
      </c>
      <c r="G230" s="6">
        <v>1500</v>
      </c>
      <c r="H230" s="6">
        <v>51000</v>
      </c>
      <c r="I230" s="6" t="s">
        <v>16</v>
      </c>
      <c r="J230" s="6">
        <v>0</v>
      </c>
      <c r="K230" s="6">
        <v>680</v>
      </c>
      <c r="L230" s="6" t="s">
        <v>17</v>
      </c>
      <c r="M230" s="6" t="s">
        <v>80</v>
      </c>
      <c r="N230" s="6" t="s">
        <v>25</v>
      </c>
      <c r="O230" s="5">
        <v>4</v>
      </c>
      <c r="P230" t="e">
        <v>#DIV/0!</v>
      </c>
      <c r="Q230" t="b">
        <v>0</v>
      </c>
      <c r="R230" s="5" t="str">
        <v>Odd</v>
      </c>
      <c r="S230">
        <f t="shared" si="11"/>
        <v>88</v>
      </c>
      <c r="T230" t="str">
        <v/>
      </c>
      <c r="U230" t="str">
        <v>Bad</v>
      </c>
      <c r="V230" t="b">
        <v>0</v>
      </c>
      <c r="W230" t="str" cm="1">
        <f t="array" ref="W230">IF(AND(D230:D578&gt;40, K230:K578&lt;300, H230:H578&lt;8000), "Not Eligible", "Eligible")</f>
        <v>Eligible</v>
      </c>
      <c r="X230" t="str">
        <f t="shared" si="12"/>
        <v>Bad</v>
      </c>
      <c r="Y230" t="str">
        <f t="shared" si="13"/>
        <v/>
      </c>
      <c r="Z230" t="b">
        <v>1</v>
      </c>
    </row>
    <row r="231" spans="1:26" x14ac:dyDescent="0.3">
      <c r="A231" s="5">
        <f t="shared" si="14"/>
        <v>230</v>
      </c>
      <c r="B231" s="7" t="s">
        <v>158</v>
      </c>
      <c r="C231" s="7" t="s">
        <v>180</v>
      </c>
      <c r="D231" s="6">
        <v>29</v>
      </c>
      <c r="E231" s="6" t="s">
        <v>14</v>
      </c>
      <c r="F231" s="6" t="s">
        <v>22</v>
      </c>
      <c r="G231" s="6">
        <v>5000</v>
      </c>
      <c r="H231" s="6">
        <v>53000</v>
      </c>
      <c r="I231" s="6" t="s">
        <v>23</v>
      </c>
      <c r="J231" s="6">
        <v>7000</v>
      </c>
      <c r="K231" s="6">
        <v>690</v>
      </c>
      <c r="L231" s="6" t="s">
        <v>24</v>
      </c>
      <c r="M231" s="6" t="s">
        <v>80</v>
      </c>
      <c r="N231" s="6" t="s">
        <v>18</v>
      </c>
      <c r="O231" s="5">
        <v>13</v>
      </c>
      <c r="P231">
        <v>7.5714285714285712</v>
      </c>
      <c r="Q231" t="b">
        <v>1</v>
      </c>
      <c r="R231" s="5" t="str">
        <v>Odd</v>
      </c>
      <c r="S231">
        <f t="shared" si="11"/>
        <v>68</v>
      </c>
      <c r="T231" t="str">
        <v>Good</v>
      </c>
      <c r="U231" t="str">
        <v/>
      </c>
      <c r="V231" t="b">
        <v>0</v>
      </c>
      <c r="W231" t="str" cm="1">
        <f t="array" ref="W231">IF(AND(D231:D579&gt;40, K231:K579&lt;300, H231:H579&lt;8000), "Not Eligible", "Eligible")</f>
        <v>Eligible</v>
      </c>
      <c r="X231" t="str">
        <f t="shared" si="12"/>
        <v>Good</v>
      </c>
      <c r="Y231" t="str">
        <f t="shared" si="13"/>
        <v>In Progress</v>
      </c>
      <c r="Z231" t="b">
        <v>0</v>
      </c>
    </row>
    <row r="232" spans="1:26" x14ac:dyDescent="0.3">
      <c r="A232" s="5">
        <f t="shared" si="14"/>
        <v>231</v>
      </c>
      <c r="B232" s="7" t="s">
        <v>307</v>
      </c>
      <c r="C232" s="7" t="s">
        <v>136</v>
      </c>
      <c r="D232" s="6">
        <v>36</v>
      </c>
      <c r="E232" s="6" t="s">
        <v>21</v>
      </c>
      <c r="F232" s="6" t="s">
        <v>15</v>
      </c>
      <c r="G232" s="6">
        <v>6000</v>
      </c>
      <c r="H232" s="6">
        <v>67000</v>
      </c>
      <c r="I232" s="6" t="s">
        <v>16</v>
      </c>
      <c r="J232" s="6">
        <v>0</v>
      </c>
      <c r="K232" s="6">
        <v>710</v>
      </c>
      <c r="L232" s="6" t="s">
        <v>28</v>
      </c>
      <c r="M232" s="6" t="s">
        <v>80</v>
      </c>
      <c r="N232" s="6" t="s">
        <v>25</v>
      </c>
      <c r="O232" s="5">
        <v>5</v>
      </c>
      <c r="P232" t="e">
        <v>#DIV/0!</v>
      </c>
      <c r="Q232" t="b">
        <v>0</v>
      </c>
      <c r="R232" s="5" t="str">
        <v>Even</v>
      </c>
      <c r="S232">
        <f t="shared" si="11"/>
        <v>34</v>
      </c>
      <c r="T232" t="str">
        <v/>
      </c>
      <c r="U232" t="str">
        <v>Bad</v>
      </c>
      <c r="V232" t="b">
        <v>0</v>
      </c>
      <c r="W232" t="str" cm="1">
        <f t="array" ref="W232">IF(AND(D232:D580&gt;40, K232:K580&lt;300, H232:H580&lt;8000), "Not Eligible", "Eligible")</f>
        <v>Eligible</v>
      </c>
      <c r="X232" t="str">
        <f t="shared" si="12"/>
        <v>Bad</v>
      </c>
      <c r="Y232" t="str">
        <f t="shared" si="13"/>
        <v/>
      </c>
      <c r="Z232" t="b">
        <v>1</v>
      </c>
    </row>
    <row r="233" spans="1:26" x14ac:dyDescent="0.3">
      <c r="A233" s="5">
        <f t="shared" si="14"/>
        <v>232</v>
      </c>
      <c r="B233" s="7" t="s">
        <v>279</v>
      </c>
      <c r="C233" s="7" t="s">
        <v>190</v>
      </c>
      <c r="D233" s="6">
        <v>43</v>
      </c>
      <c r="E233" s="6" t="s">
        <v>14</v>
      </c>
      <c r="F233" s="6" t="s">
        <v>15</v>
      </c>
      <c r="G233" s="6">
        <v>4000</v>
      </c>
      <c r="H233" s="6">
        <v>46000</v>
      </c>
      <c r="I233" s="6" t="s">
        <v>23</v>
      </c>
      <c r="J233" s="6">
        <v>6000</v>
      </c>
      <c r="K233" s="6">
        <v>720</v>
      </c>
      <c r="L233" s="6" t="s">
        <v>31</v>
      </c>
      <c r="M233" s="6" t="s">
        <v>81</v>
      </c>
      <c r="N233" s="6" t="s">
        <v>18</v>
      </c>
      <c r="O233" s="5">
        <v>11</v>
      </c>
      <c r="P233">
        <v>7.666666666666667</v>
      </c>
      <c r="Q233" t="b">
        <v>1</v>
      </c>
      <c r="R233" s="5" t="str">
        <v>Odd</v>
      </c>
      <c r="S233">
        <f t="shared" si="11"/>
        <v>11</v>
      </c>
      <c r="T233" t="str">
        <v>Good</v>
      </c>
      <c r="U233" t="str">
        <v/>
      </c>
      <c r="V233" t="b">
        <v>0</v>
      </c>
      <c r="W233" t="str" cm="1">
        <f t="array" ref="W233">IF(AND(D233:D581&gt;40, K233:K581&lt;300, H233:H581&lt;8000), "Not Eligible", "Eligible")</f>
        <v>Eligible</v>
      </c>
      <c r="X233" t="str">
        <f t="shared" si="12"/>
        <v>Good</v>
      </c>
      <c r="Y233" t="str">
        <f t="shared" si="13"/>
        <v>In Progress</v>
      </c>
      <c r="Z233" t="b">
        <v>0</v>
      </c>
    </row>
    <row r="234" spans="1:26" x14ac:dyDescent="0.3">
      <c r="A234" s="5">
        <f t="shared" si="14"/>
        <v>233</v>
      </c>
      <c r="B234" s="7" t="s">
        <v>159</v>
      </c>
      <c r="C234" s="7" t="s">
        <v>237</v>
      </c>
      <c r="D234" s="6">
        <v>27</v>
      </c>
      <c r="E234" s="6" t="s">
        <v>21</v>
      </c>
      <c r="F234" s="6" t="s">
        <v>15</v>
      </c>
      <c r="G234" s="6">
        <v>2500</v>
      </c>
      <c r="H234" s="6">
        <v>47000</v>
      </c>
      <c r="I234" s="6" t="s">
        <v>16</v>
      </c>
      <c r="J234" s="6">
        <v>0</v>
      </c>
      <c r="K234" s="6">
        <v>670</v>
      </c>
      <c r="L234" s="6" t="s">
        <v>17</v>
      </c>
      <c r="M234" s="6" t="s">
        <v>81</v>
      </c>
      <c r="N234" s="6" t="s">
        <v>25</v>
      </c>
      <c r="O234" s="5">
        <v>4</v>
      </c>
      <c r="P234" t="e">
        <v>#DIV/0!</v>
      </c>
      <c r="Q234" t="b">
        <v>0</v>
      </c>
      <c r="R234" s="5" t="str">
        <v>Odd</v>
      </c>
      <c r="S234">
        <f t="shared" si="11"/>
        <v>106</v>
      </c>
      <c r="T234" t="str">
        <v/>
      </c>
      <c r="U234" t="str">
        <v>Bad</v>
      </c>
      <c r="V234" t="b">
        <v>0</v>
      </c>
      <c r="W234" t="str" cm="1">
        <f t="array" ref="W234">IF(AND(D234:D582&gt;40, K234:K582&lt;300, H234:H582&lt;8000), "Not Eligible", "Eligible")</f>
        <v>Eligible</v>
      </c>
      <c r="X234" t="str">
        <f t="shared" si="12"/>
        <v>Bad</v>
      </c>
      <c r="Y234" t="str">
        <f t="shared" si="13"/>
        <v/>
      </c>
      <c r="Z234" t="b">
        <v>1</v>
      </c>
    </row>
    <row r="235" spans="1:26" x14ac:dyDescent="0.3">
      <c r="A235" s="5">
        <f t="shared" si="14"/>
        <v>234</v>
      </c>
      <c r="B235" s="7" t="s">
        <v>308</v>
      </c>
      <c r="C235" s="7" t="s">
        <v>172</v>
      </c>
      <c r="D235" s="6">
        <v>39</v>
      </c>
      <c r="E235" s="6" t="s">
        <v>14</v>
      </c>
      <c r="F235" s="6" t="s">
        <v>22</v>
      </c>
      <c r="G235" s="6">
        <v>9000</v>
      </c>
      <c r="H235" s="6">
        <v>70000</v>
      </c>
      <c r="I235" s="6" t="s">
        <v>23</v>
      </c>
      <c r="J235" s="6">
        <v>12000</v>
      </c>
      <c r="K235" s="6">
        <v>700</v>
      </c>
      <c r="L235" s="6" t="s">
        <v>24</v>
      </c>
      <c r="M235" s="6" t="s">
        <v>81</v>
      </c>
      <c r="N235" s="6" t="s">
        <v>18</v>
      </c>
      <c r="O235" s="5">
        <v>14</v>
      </c>
      <c r="P235">
        <v>5.833333333333333</v>
      </c>
      <c r="Q235" t="b">
        <v>1</v>
      </c>
      <c r="R235" s="5" t="str">
        <v>Odd</v>
      </c>
      <c r="S235">
        <f t="shared" si="11"/>
        <v>50</v>
      </c>
      <c r="T235" t="str">
        <v>Good</v>
      </c>
      <c r="U235" t="str">
        <v/>
      </c>
      <c r="V235" t="b">
        <v>0</v>
      </c>
      <c r="W235" t="str" cm="1">
        <f t="array" ref="W235">IF(AND(D235:D583&gt;40, K235:K583&lt;300, H235:H583&lt;8000), "Not Eligible", "Eligible")</f>
        <v>Eligible</v>
      </c>
      <c r="X235" t="str">
        <f t="shared" si="12"/>
        <v>Good</v>
      </c>
      <c r="Y235" t="str">
        <f t="shared" si="13"/>
        <v>In Progress</v>
      </c>
      <c r="Z235" t="b">
        <v>0</v>
      </c>
    </row>
    <row r="236" spans="1:26" x14ac:dyDescent="0.3">
      <c r="A236" s="5">
        <f t="shared" si="14"/>
        <v>235</v>
      </c>
      <c r="B236" s="7" t="s">
        <v>298</v>
      </c>
      <c r="C236" s="7" t="s">
        <v>170</v>
      </c>
      <c r="D236" s="6">
        <v>31</v>
      </c>
      <c r="E236" s="6" t="s">
        <v>21</v>
      </c>
      <c r="F236" s="6" t="s">
        <v>15</v>
      </c>
      <c r="G236" s="6">
        <v>5000</v>
      </c>
      <c r="H236" s="6">
        <v>56000</v>
      </c>
      <c r="I236" s="6" t="s">
        <v>16</v>
      </c>
      <c r="J236" s="6">
        <v>0</v>
      </c>
      <c r="K236" s="6">
        <v>680</v>
      </c>
      <c r="L236" s="6" t="s">
        <v>28</v>
      </c>
      <c r="M236" s="6" t="s">
        <v>82</v>
      </c>
      <c r="N236" s="6" t="s">
        <v>25</v>
      </c>
      <c r="O236" s="5">
        <v>7</v>
      </c>
      <c r="P236" t="e">
        <v>#DIV/0!</v>
      </c>
      <c r="Q236" t="b">
        <v>0</v>
      </c>
      <c r="R236" s="5" t="str">
        <v>Odd</v>
      </c>
      <c r="S236">
        <f t="shared" si="11"/>
        <v>84</v>
      </c>
      <c r="T236" t="str">
        <v/>
      </c>
      <c r="U236" t="str">
        <v>Bad</v>
      </c>
      <c r="V236" t="b">
        <v>0</v>
      </c>
      <c r="W236" t="str" cm="1">
        <f t="array" ref="W236">IF(AND(D236:D584&gt;40, K236:K584&lt;300, H236:H584&lt;8000), "Not Eligible", "Eligible")</f>
        <v>Eligible</v>
      </c>
      <c r="X236" t="str">
        <f t="shared" si="12"/>
        <v>Bad</v>
      </c>
      <c r="Y236" t="str">
        <f t="shared" si="13"/>
        <v/>
      </c>
      <c r="Z236" t="b">
        <v>1</v>
      </c>
    </row>
    <row r="237" spans="1:26" x14ac:dyDescent="0.3">
      <c r="A237" s="5">
        <f t="shared" si="14"/>
        <v>236</v>
      </c>
      <c r="B237" s="7" t="s">
        <v>309</v>
      </c>
      <c r="C237" s="7" t="s">
        <v>200</v>
      </c>
      <c r="D237" s="6">
        <v>28</v>
      </c>
      <c r="E237" s="6" t="s">
        <v>14</v>
      </c>
      <c r="F237" s="6" t="s">
        <v>22</v>
      </c>
      <c r="G237" s="6">
        <v>2000</v>
      </c>
      <c r="H237" s="6">
        <v>47000</v>
      </c>
      <c r="I237" s="6" t="s">
        <v>23</v>
      </c>
      <c r="J237" s="6">
        <v>5000</v>
      </c>
      <c r="K237" s="6">
        <v>690</v>
      </c>
      <c r="L237" s="6" t="s">
        <v>31</v>
      </c>
      <c r="M237" s="6" t="s">
        <v>82</v>
      </c>
      <c r="N237" s="6" t="s">
        <v>18</v>
      </c>
      <c r="O237" s="5">
        <v>6</v>
      </c>
      <c r="P237">
        <v>9.4</v>
      </c>
      <c r="Q237" t="b">
        <v>1</v>
      </c>
      <c r="R237" s="5" t="str">
        <v>Even</v>
      </c>
      <c r="S237">
        <f t="shared" si="11"/>
        <v>65</v>
      </c>
      <c r="T237" t="str">
        <v>Good</v>
      </c>
      <c r="U237" t="str">
        <v/>
      </c>
      <c r="V237" t="b">
        <v>0</v>
      </c>
      <c r="W237" t="str" cm="1">
        <f t="array" ref="W237">IF(AND(D237:D585&gt;40, K237:K585&lt;300, H237:H585&lt;8000), "Not Eligible", "Eligible")</f>
        <v>Eligible</v>
      </c>
      <c r="X237" t="str">
        <f t="shared" si="12"/>
        <v>Bad</v>
      </c>
      <c r="Y237" t="str">
        <f t="shared" si="13"/>
        <v>In Progress</v>
      </c>
      <c r="Z237" t="b">
        <v>0</v>
      </c>
    </row>
    <row r="238" spans="1:26" x14ac:dyDescent="0.3">
      <c r="A238" s="5">
        <f t="shared" si="14"/>
        <v>237</v>
      </c>
      <c r="B238" s="7" t="s">
        <v>165</v>
      </c>
      <c r="C238" s="7" t="s">
        <v>178</v>
      </c>
      <c r="D238" s="6">
        <v>40</v>
      </c>
      <c r="E238" s="6" t="s">
        <v>21</v>
      </c>
      <c r="F238" s="6" t="s">
        <v>15</v>
      </c>
      <c r="G238" s="6">
        <v>7000</v>
      </c>
      <c r="H238" s="6">
        <v>68000</v>
      </c>
      <c r="I238" s="6" t="s">
        <v>16</v>
      </c>
      <c r="J238" s="6">
        <v>0</v>
      </c>
      <c r="K238" s="6">
        <v>710</v>
      </c>
      <c r="L238" s="6" t="s">
        <v>17</v>
      </c>
      <c r="M238" s="6" t="s">
        <v>82</v>
      </c>
      <c r="N238" s="6" t="s">
        <v>25</v>
      </c>
      <c r="O238" s="5">
        <v>4</v>
      </c>
      <c r="P238" t="e">
        <v>#DIV/0!</v>
      </c>
      <c r="Q238" t="b">
        <v>0</v>
      </c>
      <c r="R238" s="5" t="str">
        <v>Even</v>
      </c>
      <c r="S238">
        <f t="shared" si="11"/>
        <v>33</v>
      </c>
      <c r="T238" t="str">
        <v/>
      </c>
      <c r="U238" t="str">
        <v>Bad</v>
      </c>
      <c r="V238" t="b">
        <v>0</v>
      </c>
      <c r="W238" t="str" cm="1">
        <f t="array" ref="W238">IF(AND(D238:D586&gt;40, K238:K586&lt;300, H238:H586&lt;8000), "Not Eligible", "Eligible")</f>
        <v>Eligible</v>
      </c>
      <c r="X238" t="str">
        <f t="shared" si="12"/>
        <v>Bad</v>
      </c>
      <c r="Y238" t="str">
        <f t="shared" si="13"/>
        <v/>
      </c>
      <c r="Z238" t="b">
        <v>1</v>
      </c>
    </row>
    <row r="239" spans="1:26" x14ac:dyDescent="0.3">
      <c r="A239" s="5">
        <f t="shared" si="14"/>
        <v>238</v>
      </c>
      <c r="B239" s="7" t="s">
        <v>310</v>
      </c>
      <c r="C239" s="7" t="s">
        <v>196</v>
      </c>
      <c r="D239" s="6">
        <v>36</v>
      </c>
      <c r="E239" s="6" t="s">
        <v>14</v>
      </c>
      <c r="F239" s="6" t="s">
        <v>22</v>
      </c>
      <c r="G239" s="6">
        <v>3000</v>
      </c>
      <c r="H239" s="6">
        <v>49000</v>
      </c>
      <c r="I239" s="6" t="s">
        <v>23</v>
      </c>
      <c r="J239" s="6">
        <v>6000</v>
      </c>
      <c r="K239" s="6">
        <v>700</v>
      </c>
      <c r="L239" s="6" t="s">
        <v>24</v>
      </c>
      <c r="M239" s="6" t="s">
        <v>80</v>
      </c>
      <c r="N239" s="6" t="s">
        <v>18</v>
      </c>
      <c r="O239" s="5">
        <v>7</v>
      </c>
      <c r="P239">
        <v>8.1666666666666661</v>
      </c>
      <c r="Q239" t="b">
        <v>1</v>
      </c>
      <c r="R239" s="5" t="str">
        <v>Even</v>
      </c>
      <c r="S239">
        <f t="shared" si="11"/>
        <v>49</v>
      </c>
      <c r="T239" t="str">
        <v>Good</v>
      </c>
      <c r="U239" t="str">
        <v/>
      </c>
      <c r="V239" t="b">
        <v>0</v>
      </c>
      <c r="W239" t="str" cm="1">
        <f t="array" ref="W239">IF(AND(D239:D587&gt;40, K239:K587&lt;300, H239:H587&lt;8000), "Not Eligible", "Eligible")</f>
        <v>Eligible</v>
      </c>
      <c r="X239" t="str">
        <f t="shared" si="12"/>
        <v>Good</v>
      </c>
      <c r="Y239" t="str">
        <f t="shared" si="13"/>
        <v>In Progress</v>
      </c>
      <c r="Z239" t="b">
        <v>0</v>
      </c>
    </row>
    <row r="240" spans="1:26" x14ac:dyDescent="0.3">
      <c r="A240" s="5">
        <f t="shared" si="14"/>
        <v>239</v>
      </c>
      <c r="B240" s="7" t="s">
        <v>70</v>
      </c>
      <c r="C240" s="7" t="s">
        <v>244</v>
      </c>
      <c r="D240" s="6">
        <v>29</v>
      </c>
      <c r="E240" s="6" t="s">
        <v>21</v>
      </c>
      <c r="F240" s="6" t="s">
        <v>15</v>
      </c>
      <c r="G240" s="6">
        <v>2000</v>
      </c>
      <c r="H240" s="6">
        <v>45000</v>
      </c>
      <c r="I240" s="6" t="s">
        <v>16</v>
      </c>
      <c r="J240" s="6">
        <v>0</v>
      </c>
      <c r="K240" s="6">
        <v>670</v>
      </c>
      <c r="L240" s="6" t="s">
        <v>28</v>
      </c>
      <c r="M240" s="6" t="s">
        <v>80</v>
      </c>
      <c r="N240" s="6" t="s">
        <v>25</v>
      </c>
      <c r="O240" s="5">
        <v>13</v>
      </c>
      <c r="P240" t="e">
        <v>#DIV/0!</v>
      </c>
      <c r="Q240" t="b">
        <v>0</v>
      </c>
      <c r="R240" s="5" t="str">
        <v>Odd</v>
      </c>
      <c r="S240">
        <f t="shared" si="11"/>
        <v>101</v>
      </c>
      <c r="T240" t="str">
        <v/>
      </c>
      <c r="U240" t="str">
        <v>Bad</v>
      </c>
      <c r="V240" t="b">
        <v>0</v>
      </c>
      <c r="W240" t="str" cm="1">
        <f t="array" ref="W240">IF(AND(D240:D588&gt;40, K240:K588&lt;300, H240:H588&lt;8000), "Not Eligible", "Eligible")</f>
        <v>Eligible</v>
      </c>
      <c r="X240" t="str">
        <f t="shared" si="12"/>
        <v>Bad</v>
      </c>
      <c r="Y240" t="str">
        <f t="shared" si="13"/>
        <v/>
      </c>
      <c r="Z240" t="b">
        <v>1</v>
      </c>
    </row>
    <row r="241" spans="1:26" x14ac:dyDescent="0.3">
      <c r="A241" s="5">
        <f t="shared" si="14"/>
        <v>240</v>
      </c>
      <c r="B241" s="7" t="s">
        <v>311</v>
      </c>
      <c r="C241" s="7" t="s">
        <v>225</v>
      </c>
      <c r="D241" s="6">
        <v>38</v>
      </c>
      <c r="E241" s="6" t="s">
        <v>14</v>
      </c>
      <c r="F241" s="6" t="s">
        <v>22</v>
      </c>
      <c r="G241" s="6">
        <v>6000</v>
      </c>
      <c r="H241" s="6">
        <v>71000</v>
      </c>
      <c r="I241" s="6" t="s">
        <v>23</v>
      </c>
      <c r="J241" s="6">
        <v>12000</v>
      </c>
      <c r="K241" s="6">
        <v>720</v>
      </c>
      <c r="L241" s="6" t="s">
        <v>31</v>
      </c>
      <c r="M241" s="6" t="s">
        <v>80</v>
      </c>
      <c r="N241" s="6" t="s">
        <v>18</v>
      </c>
      <c r="O241" s="5">
        <v>4</v>
      </c>
      <c r="P241">
        <v>5.916666666666667</v>
      </c>
      <c r="Q241" t="b">
        <v>1</v>
      </c>
      <c r="R241" s="5" t="str">
        <v>Even</v>
      </c>
      <c r="S241">
        <f t="shared" si="11"/>
        <v>11</v>
      </c>
      <c r="T241" t="str">
        <v>Good</v>
      </c>
      <c r="U241" t="str">
        <v/>
      </c>
      <c r="V241" t="b">
        <v>0</v>
      </c>
      <c r="W241" t="str" cm="1">
        <f t="array" ref="W241">IF(AND(D241:D589&gt;40, K241:K589&lt;300, H241:H589&lt;8000), "Not Eligible", "Eligible")</f>
        <v>Eligible</v>
      </c>
      <c r="X241" t="str">
        <f t="shared" si="12"/>
        <v>Good</v>
      </c>
      <c r="Y241" t="str">
        <f t="shared" si="13"/>
        <v>In Progress</v>
      </c>
      <c r="Z241" t="b">
        <v>0</v>
      </c>
    </row>
    <row r="242" spans="1:26" x14ac:dyDescent="0.3">
      <c r="A242" s="5">
        <f t="shared" si="14"/>
        <v>241</v>
      </c>
      <c r="B242" s="7" t="s">
        <v>185</v>
      </c>
      <c r="C242" s="7" t="s">
        <v>63</v>
      </c>
      <c r="D242" s="6">
        <v>34</v>
      </c>
      <c r="E242" s="6" t="s">
        <v>14</v>
      </c>
      <c r="F242" s="6" t="s">
        <v>15</v>
      </c>
      <c r="G242" s="6">
        <v>2500</v>
      </c>
      <c r="H242" s="6">
        <v>55000</v>
      </c>
      <c r="I242" s="6" t="s">
        <v>16</v>
      </c>
      <c r="J242" s="6">
        <v>0</v>
      </c>
      <c r="K242" s="6">
        <v>720</v>
      </c>
      <c r="L242" s="6" t="s">
        <v>17</v>
      </c>
      <c r="M242" s="6" t="s">
        <v>80</v>
      </c>
      <c r="N242" s="6" t="s">
        <v>18</v>
      </c>
      <c r="O242" s="5">
        <v>15</v>
      </c>
      <c r="P242" t="e">
        <v>#DIV/0!</v>
      </c>
      <c r="Q242" t="b">
        <v>0</v>
      </c>
      <c r="R242" s="5" t="str">
        <v>Even</v>
      </c>
      <c r="S242">
        <f t="shared" si="11"/>
        <v>11</v>
      </c>
      <c r="T242" t="str">
        <v>Good</v>
      </c>
      <c r="U242" t="str">
        <v/>
      </c>
      <c r="V242" t="b">
        <v>0</v>
      </c>
      <c r="W242" t="str" cm="1">
        <f t="array" ref="W242">IF(AND(D242:D590&gt;40, K242:K590&lt;300, H242:H590&lt;8000), "Not Eligible", "Eligible")</f>
        <v>Eligible</v>
      </c>
      <c r="X242" t="str">
        <f t="shared" si="12"/>
        <v>Good</v>
      </c>
      <c r="Y242" t="str">
        <f t="shared" si="13"/>
        <v>In Progress</v>
      </c>
      <c r="Z242" t="b">
        <v>1</v>
      </c>
    </row>
    <row r="243" spans="1:26" x14ac:dyDescent="0.3">
      <c r="A243" s="5">
        <f t="shared" si="14"/>
        <v>242</v>
      </c>
      <c r="B243" s="7" t="s">
        <v>142</v>
      </c>
      <c r="C243" s="7" t="s">
        <v>182</v>
      </c>
      <c r="D243" s="6">
        <v>29</v>
      </c>
      <c r="E243" s="6" t="s">
        <v>21</v>
      </c>
      <c r="F243" s="6" t="s">
        <v>22</v>
      </c>
      <c r="G243" s="6">
        <v>8000</v>
      </c>
      <c r="H243" s="6">
        <v>62000</v>
      </c>
      <c r="I243" s="6" t="s">
        <v>23</v>
      </c>
      <c r="J243" s="6">
        <v>15000</v>
      </c>
      <c r="K243" s="6">
        <v>680</v>
      </c>
      <c r="L243" s="6" t="s">
        <v>24</v>
      </c>
      <c r="M243" s="6" t="s">
        <v>81</v>
      </c>
      <c r="N243" s="6" t="s">
        <v>25</v>
      </c>
      <c r="O243" s="5">
        <v>4</v>
      </c>
      <c r="P243">
        <v>4.1333333333333337</v>
      </c>
      <c r="Q243" t="b">
        <v>1</v>
      </c>
      <c r="R243" s="5" t="str">
        <v>Odd</v>
      </c>
      <c r="S243">
        <f t="shared" si="11"/>
        <v>79</v>
      </c>
      <c r="T243" t="str">
        <v/>
      </c>
      <c r="U243" t="str">
        <v>Bad</v>
      </c>
      <c r="V243" t="b">
        <v>0</v>
      </c>
      <c r="W243" t="str" cm="1">
        <f t="array" ref="W243">IF(AND(D243:D591&gt;40, K243:K591&lt;300, H243:H591&lt;8000), "Not Eligible", "Eligible")</f>
        <v>Eligible</v>
      </c>
      <c r="X243" t="str">
        <f t="shared" si="12"/>
        <v>Bad</v>
      </c>
      <c r="Y243" t="str">
        <f t="shared" si="13"/>
        <v/>
      </c>
      <c r="Z243" t="b">
        <v>0</v>
      </c>
    </row>
    <row r="244" spans="1:26" x14ac:dyDescent="0.3">
      <c r="A244" s="5">
        <f t="shared" si="14"/>
        <v>243</v>
      </c>
      <c r="B244" s="7" t="s">
        <v>232</v>
      </c>
      <c r="C244" s="7" t="s">
        <v>279</v>
      </c>
      <c r="D244" s="6">
        <v>45</v>
      </c>
      <c r="E244" s="6" t="s">
        <v>21</v>
      </c>
      <c r="F244" s="6" t="s">
        <v>15</v>
      </c>
      <c r="G244" s="6">
        <v>12000</v>
      </c>
      <c r="H244" s="6">
        <v>75000</v>
      </c>
      <c r="I244" s="6" t="s">
        <v>16</v>
      </c>
      <c r="J244" s="6">
        <v>0</v>
      </c>
      <c r="K244" s="6">
        <v>750</v>
      </c>
      <c r="L244" s="6" t="s">
        <v>28</v>
      </c>
      <c r="M244" s="6" t="s">
        <v>82</v>
      </c>
      <c r="N244" s="6" t="s">
        <v>18</v>
      </c>
      <c r="O244" s="5">
        <v>15</v>
      </c>
      <c r="P244" t="e">
        <v>#DIV/0!</v>
      </c>
      <c r="Q244" t="b">
        <v>0</v>
      </c>
      <c r="R244" s="5" t="str">
        <v>Odd</v>
      </c>
      <c r="S244">
        <f t="shared" si="11"/>
        <v>1</v>
      </c>
      <c r="T244" t="str">
        <v>Good</v>
      </c>
      <c r="U244" t="str">
        <v/>
      </c>
      <c r="V244" t="b">
        <v>0</v>
      </c>
      <c r="W244" t="str" cm="1">
        <f t="array" ref="W244">IF(AND(D244:D592&gt;40, K244:K592&lt;300, H244:H592&lt;8000), "Not Eligible", "Eligible")</f>
        <v>Eligible</v>
      </c>
      <c r="X244" t="str">
        <f t="shared" si="12"/>
        <v>Bad</v>
      </c>
      <c r="Y244" t="str">
        <f t="shared" si="13"/>
        <v>In Progress</v>
      </c>
      <c r="Z244" t="b">
        <v>1</v>
      </c>
    </row>
    <row r="245" spans="1:26" x14ac:dyDescent="0.3">
      <c r="A245" s="5">
        <f t="shared" si="14"/>
        <v>244</v>
      </c>
      <c r="B245" s="7" t="s">
        <v>199</v>
      </c>
      <c r="C245" s="7" t="s">
        <v>207</v>
      </c>
      <c r="D245" s="6">
        <v>52</v>
      </c>
      <c r="E245" s="6" t="s">
        <v>14</v>
      </c>
      <c r="F245" s="6" t="s">
        <v>22</v>
      </c>
      <c r="G245" s="6">
        <v>3000</v>
      </c>
      <c r="H245" s="6">
        <v>48000</v>
      </c>
      <c r="I245" s="6" t="s">
        <v>23</v>
      </c>
      <c r="J245" s="6">
        <v>5000</v>
      </c>
      <c r="K245" s="6">
        <v>690</v>
      </c>
      <c r="L245" s="6" t="s">
        <v>31</v>
      </c>
      <c r="M245" s="6" t="s">
        <v>80</v>
      </c>
      <c r="N245" s="6" t="s">
        <v>18</v>
      </c>
      <c r="O245" s="5">
        <v>14</v>
      </c>
      <c r="P245">
        <v>9.6</v>
      </c>
      <c r="Q245" t="b">
        <v>1</v>
      </c>
      <c r="R245" s="5" t="str">
        <v>Even</v>
      </c>
      <c r="S245">
        <f t="shared" si="11"/>
        <v>60</v>
      </c>
      <c r="T245" t="str">
        <v>Good</v>
      </c>
      <c r="U245" t="str">
        <v/>
      </c>
      <c r="V245" t="b">
        <v>0</v>
      </c>
      <c r="W245" t="str" cm="1">
        <f t="array" ref="W245">IF(AND(D245:D593&gt;40, K245:K593&lt;300, H245:H593&lt;8000), "Not Eligible", "Eligible")</f>
        <v>Eligible</v>
      </c>
      <c r="X245" t="str">
        <f t="shared" si="12"/>
        <v>Good</v>
      </c>
      <c r="Y245" t="str">
        <f t="shared" si="13"/>
        <v>In Progress</v>
      </c>
      <c r="Z245" t="b">
        <v>0</v>
      </c>
    </row>
    <row r="246" spans="1:26" x14ac:dyDescent="0.3">
      <c r="A246" s="5">
        <f t="shared" si="14"/>
        <v>245</v>
      </c>
      <c r="B246" s="7" t="s">
        <v>243</v>
      </c>
      <c r="C246" s="7" t="s">
        <v>51</v>
      </c>
      <c r="D246" s="6">
        <v>37</v>
      </c>
      <c r="E246" s="6" t="s">
        <v>21</v>
      </c>
      <c r="F246" s="6" t="s">
        <v>15</v>
      </c>
      <c r="G246" s="6">
        <v>5000</v>
      </c>
      <c r="H246" s="6">
        <v>58000</v>
      </c>
      <c r="I246" s="6" t="s">
        <v>16</v>
      </c>
      <c r="J246" s="6">
        <v>0</v>
      </c>
      <c r="K246" s="6">
        <v>710</v>
      </c>
      <c r="L246" s="6" t="s">
        <v>17</v>
      </c>
      <c r="M246" s="6" t="s">
        <v>80</v>
      </c>
      <c r="N246" s="6" t="s">
        <v>25</v>
      </c>
      <c r="O246" s="5">
        <v>10</v>
      </c>
      <c r="P246" t="e">
        <v>#DIV/0!</v>
      </c>
      <c r="Q246" t="b">
        <v>0</v>
      </c>
      <c r="R246" s="5" t="str">
        <v>Odd</v>
      </c>
      <c r="S246">
        <f t="shared" si="11"/>
        <v>30</v>
      </c>
      <c r="T246" t="str">
        <v/>
      </c>
      <c r="U246" t="str">
        <v>Bad</v>
      </c>
      <c r="V246" t="b">
        <v>0</v>
      </c>
      <c r="W246" t="str" cm="1">
        <f t="array" ref="W246">IF(AND(D246:D594&gt;40, K246:K594&lt;300, H246:H594&lt;8000), "Not Eligible", "Eligible")</f>
        <v>Eligible</v>
      </c>
      <c r="X246" t="str">
        <f t="shared" si="12"/>
        <v>Bad</v>
      </c>
      <c r="Y246" t="str">
        <f t="shared" si="13"/>
        <v/>
      </c>
      <c r="Z246" t="b">
        <v>1</v>
      </c>
    </row>
    <row r="247" spans="1:26" x14ac:dyDescent="0.3">
      <c r="A247" s="5">
        <f t="shared" si="14"/>
        <v>246</v>
      </c>
      <c r="B247" s="7" t="s">
        <v>124</v>
      </c>
      <c r="C247" s="7" t="s">
        <v>233</v>
      </c>
      <c r="D247" s="6">
        <v>30</v>
      </c>
      <c r="E247" s="6" t="s">
        <v>14</v>
      </c>
      <c r="F247" s="6" t="s">
        <v>22</v>
      </c>
      <c r="G247" s="6">
        <v>6000</v>
      </c>
      <c r="H247" s="6">
        <v>70000</v>
      </c>
      <c r="I247" s="6" t="s">
        <v>23</v>
      </c>
      <c r="J247" s="6">
        <v>20000</v>
      </c>
      <c r="K247" s="6">
        <v>700</v>
      </c>
      <c r="L247" s="6" t="s">
        <v>24</v>
      </c>
      <c r="M247" s="6" t="s">
        <v>80</v>
      </c>
      <c r="N247" s="6" t="s">
        <v>18</v>
      </c>
      <c r="O247" s="5">
        <v>14</v>
      </c>
      <c r="P247">
        <v>3.5</v>
      </c>
      <c r="Q247" t="b">
        <v>1</v>
      </c>
      <c r="R247" s="5" t="str">
        <v>Even</v>
      </c>
      <c r="S247">
        <f t="shared" si="11"/>
        <v>45</v>
      </c>
      <c r="T247" t="str">
        <v>Good</v>
      </c>
      <c r="U247" t="str">
        <v/>
      </c>
      <c r="V247" t="b">
        <v>0</v>
      </c>
      <c r="W247" t="str" cm="1">
        <f t="array" ref="W247">IF(AND(D247:D595&gt;40, K247:K595&lt;300, H247:H595&lt;8000), "Not Eligible", "Eligible")</f>
        <v>Eligible</v>
      </c>
      <c r="X247" t="str">
        <f t="shared" si="12"/>
        <v>Good</v>
      </c>
      <c r="Y247" t="str">
        <f t="shared" si="13"/>
        <v>In Progress</v>
      </c>
      <c r="Z247" t="b">
        <v>0</v>
      </c>
    </row>
    <row r="248" spans="1:26" x14ac:dyDescent="0.3">
      <c r="A248" s="5">
        <f t="shared" si="14"/>
        <v>247</v>
      </c>
      <c r="B248" s="7" t="s">
        <v>155</v>
      </c>
      <c r="C248" s="7" t="s">
        <v>207</v>
      </c>
      <c r="D248" s="6">
        <v>40</v>
      </c>
      <c r="E248" s="6" t="s">
        <v>21</v>
      </c>
      <c r="F248" s="6" t="s">
        <v>15</v>
      </c>
      <c r="G248" s="6">
        <v>15000</v>
      </c>
      <c r="H248" s="6">
        <v>82000</v>
      </c>
      <c r="I248" s="6" t="s">
        <v>16</v>
      </c>
      <c r="J248" s="6">
        <v>0</v>
      </c>
      <c r="K248" s="6">
        <v>730</v>
      </c>
      <c r="L248" s="6" t="s">
        <v>28</v>
      </c>
      <c r="M248" s="6" t="s">
        <v>80</v>
      </c>
      <c r="N248" s="6" t="s">
        <v>25</v>
      </c>
      <c r="O248" s="5">
        <v>15</v>
      </c>
      <c r="P248" t="e">
        <v>#DIV/0!</v>
      </c>
      <c r="Q248" t="b">
        <v>0</v>
      </c>
      <c r="R248" s="5" t="str">
        <v>Even</v>
      </c>
      <c r="S248">
        <f t="shared" si="11"/>
        <v>8</v>
      </c>
      <c r="T248" t="str">
        <v/>
      </c>
      <c r="U248" t="str">
        <v>Bad</v>
      </c>
      <c r="V248" t="b">
        <v>0</v>
      </c>
      <c r="W248" t="str" cm="1">
        <f t="array" ref="W248">IF(AND(D248:D596&gt;40, K248:K596&lt;300, H248:H596&lt;8000), "Not Eligible", "Eligible")</f>
        <v>Eligible</v>
      </c>
      <c r="X248" t="str">
        <f t="shared" si="12"/>
        <v>Bad</v>
      </c>
      <c r="Y248" t="str">
        <f t="shared" si="13"/>
        <v/>
      </c>
      <c r="Z248" t="b">
        <v>1</v>
      </c>
    </row>
    <row r="249" spans="1:26" x14ac:dyDescent="0.3">
      <c r="A249" s="5">
        <f t="shared" si="14"/>
        <v>248</v>
      </c>
      <c r="B249" s="7" t="s">
        <v>32</v>
      </c>
      <c r="C249" s="7" t="s">
        <v>67</v>
      </c>
      <c r="D249" s="6">
        <v>25</v>
      </c>
      <c r="E249" s="6" t="s">
        <v>14</v>
      </c>
      <c r="F249" s="6" t="s">
        <v>22</v>
      </c>
      <c r="G249" s="6">
        <v>2000</v>
      </c>
      <c r="H249" s="6">
        <v>43000</v>
      </c>
      <c r="I249" s="6" t="s">
        <v>16</v>
      </c>
      <c r="J249" s="6">
        <v>0</v>
      </c>
      <c r="K249" s="6">
        <v>670</v>
      </c>
      <c r="L249" s="6" t="s">
        <v>31</v>
      </c>
      <c r="M249" s="6" t="s">
        <v>81</v>
      </c>
      <c r="N249" s="6" t="s">
        <v>18</v>
      </c>
      <c r="O249" s="5">
        <v>13</v>
      </c>
      <c r="P249" t="e">
        <v>#DIV/0!</v>
      </c>
      <c r="Q249" t="b">
        <v>0</v>
      </c>
      <c r="R249" s="5" t="str">
        <v>Odd</v>
      </c>
      <c r="S249">
        <f t="shared" si="11"/>
        <v>93</v>
      </c>
      <c r="T249" t="str">
        <v>Good</v>
      </c>
      <c r="U249" t="str">
        <v/>
      </c>
      <c r="V249" t="b">
        <v>0</v>
      </c>
      <c r="W249" t="str" cm="1">
        <f t="array" ref="W249">IF(AND(D249:D597&gt;40, K249:K597&lt;300, H249:H597&lt;8000), "Not Eligible", "Eligible")</f>
        <v>Eligible</v>
      </c>
      <c r="X249" t="str">
        <f t="shared" si="12"/>
        <v>Bad</v>
      </c>
      <c r="Y249" t="str">
        <f t="shared" si="13"/>
        <v>In Progress</v>
      </c>
      <c r="Z249" t="b">
        <v>1</v>
      </c>
    </row>
    <row r="250" spans="1:26" x14ac:dyDescent="0.3">
      <c r="A250" s="5">
        <f t="shared" si="14"/>
        <v>249</v>
      </c>
      <c r="B250" s="7" t="s">
        <v>144</v>
      </c>
      <c r="C250" s="7" t="s">
        <v>166</v>
      </c>
      <c r="D250" s="6">
        <v>31</v>
      </c>
      <c r="E250" s="6" t="s">
        <v>21</v>
      </c>
      <c r="F250" s="6" t="s">
        <v>15</v>
      </c>
      <c r="G250" s="6">
        <v>7000</v>
      </c>
      <c r="H250" s="6">
        <v>55000</v>
      </c>
      <c r="I250" s="6" t="s">
        <v>23</v>
      </c>
      <c r="J250" s="6">
        <v>10000</v>
      </c>
      <c r="K250" s="6">
        <v>720</v>
      </c>
      <c r="L250" s="6" t="s">
        <v>17</v>
      </c>
      <c r="M250" s="6" t="s">
        <v>81</v>
      </c>
      <c r="N250" s="6" t="s">
        <v>18</v>
      </c>
      <c r="O250" s="5">
        <v>7</v>
      </c>
      <c r="P250">
        <v>5.5</v>
      </c>
      <c r="Q250" t="b">
        <v>1</v>
      </c>
      <c r="R250" s="5" t="str">
        <v>Odd</v>
      </c>
      <c r="S250">
        <f t="shared" si="11"/>
        <v>9</v>
      </c>
      <c r="T250" t="str">
        <v>Good</v>
      </c>
      <c r="U250" t="str">
        <v/>
      </c>
      <c r="V250" t="b">
        <v>0</v>
      </c>
      <c r="W250" t="str" cm="1">
        <f t="array" ref="W250">IF(AND(D250:D598&gt;40, K250:K598&lt;300, H250:H598&lt;8000), "Not Eligible", "Eligible")</f>
        <v>Eligible</v>
      </c>
      <c r="X250" t="str">
        <f t="shared" si="12"/>
        <v>Bad</v>
      </c>
      <c r="Y250" t="str">
        <f t="shared" si="13"/>
        <v>In Progress</v>
      </c>
      <c r="Z250" t="b">
        <v>0</v>
      </c>
    </row>
    <row r="251" spans="1:26" x14ac:dyDescent="0.3">
      <c r="A251" s="5">
        <f t="shared" si="14"/>
        <v>250</v>
      </c>
      <c r="B251" s="7" t="s">
        <v>312</v>
      </c>
      <c r="C251" s="7" t="s">
        <v>196</v>
      </c>
      <c r="D251" s="6">
        <v>44</v>
      </c>
      <c r="E251" s="6" t="s">
        <v>14</v>
      </c>
      <c r="F251" s="6" t="s">
        <v>22</v>
      </c>
      <c r="G251" s="6">
        <v>11000</v>
      </c>
      <c r="H251" s="6">
        <v>65000</v>
      </c>
      <c r="I251" s="6" t="s">
        <v>16</v>
      </c>
      <c r="J251" s="6">
        <v>0</v>
      </c>
      <c r="K251" s="6">
        <v>740</v>
      </c>
      <c r="L251" s="6" t="s">
        <v>24</v>
      </c>
      <c r="M251" s="6" t="s">
        <v>82</v>
      </c>
      <c r="N251" s="6" t="s">
        <v>25</v>
      </c>
      <c r="O251" s="5">
        <v>5</v>
      </c>
      <c r="P251" t="e">
        <v>#DIV/0!</v>
      </c>
      <c r="Q251" t="b">
        <v>0</v>
      </c>
      <c r="R251" s="5" t="str">
        <v>Even</v>
      </c>
      <c r="S251">
        <f t="shared" si="11"/>
        <v>2</v>
      </c>
      <c r="T251" t="str">
        <v/>
      </c>
      <c r="U251" t="str">
        <v>Bad</v>
      </c>
      <c r="V251" t="b">
        <v>0</v>
      </c>
      <c r="W251" t="str" cm="1">
        <f t="array" ref="W251">IF(AND(D251:D599&gt;40, K251:K599&lt;300, H251:H599&lt;8000), "Not Eligible", "Eligible")</f>
        <v>Eligible</v>
      </c>
      <c r="X251" t="str">
        <f t="shared" si="12"/>
        <v>Good</v>
      </c>
      <c r="Y251" t="str">
        <f t="shared" si="13"/>
        <v/>
      </c>
      <c r="Z251" t="b">
        <v>1</v>
      </c>
    </row>
    <row r="252" spans="1:26" x14ac:dyDescent="0.3">
      <c r="A252" s="5">
        <f t="shared" si="14"/>
        <v>251</v>
      </c>
      <c r="B252" s="7" t="s">
        <v>313</v>
      </c>
      <c r="C252" s="7" t="s">
        <v>244</v>
      </c>
      <c r="D252" s="6">
        <v>28</v>
      </c>
      <c r="E252" s="6" t="s">
        <v>21</v>
      </c>
      <c r="F252" s="6" t="s">
        <v>15</v>
      </c>
      <c r="G252" s="6">
        <v>4500</v>
      </c>
      <c r="H252" s="6">
        <v>47000</v>
      </c>
      <c r="I252" s="6" t="s">
        <v>16</v>
      </c>
      <c r="J252" s="6">
        <v>0</v>
      </c>
      <c r="K252" s="6">
        <v>690</v>
      </c>
      <c r="L252" s="6" t="s">
        <v>28</v>
      </c>
      <c r="M252" s="6" t="s">
        <v>80</v>
      </c>
      <c r="N252" s="6" t="s">
        <v>18</v>
      </c>
      <c r="O252" s="5">
        <v>3</v>
      </c>
      <c r="P252" t="e">
        <v>#DIV/0!</v>
      </c>
      <c r="Q252" t="b">
        <v>0</v>
      </c>
      <c r="R252" s="5" t="str">
        <v>Even</v>
      </c>
      <c r="S252">
        <f t="shared" si="11"/>
        <v>55</v>
      </c>
      <c r="T252" t="str">
        <v>Good</v>
      </c>
      <c r="U252" t="str">
        <v/>
      </c>
      <c r="V252" t="b">
        <v>0</v>
      </c>
      <c r="W252" t="str" cm="1">
        <f t="array" ref="W252">IF(AND(D252:D600&gt;40, K252:K600&lt;300, H252:H600&lt;8000), "Not Eligible", "Eligible")</f>
        <v>Eligible</v>
      </c>
      <c r="X252" t="str">
        <f t="shared" si="12"/>
        <v>Bad</v>
      </c>
      <c r="Y252" t="str">
        <f t="shared" si="13"/>
        <v>In Progress</v>
      </c>
      <c r="Z252" t="b">
        <v>1</v>
      </c>
    </row>
    <row r="253" spans="1:26" x14ac:dyDescent="0.3">
      <c r="A253" s="5">
        <f t="shared" si="14"/>
        <v>252</v>
      </c>
      <c r="B253" s="7" t="s">
        <v>217</v>
      </c>
      <c r="C253" s="7" t="s">
        <v>244</v>
      </c>
      <c r="D253" s="6">
        <v>39</v>
      </c>
      <c r="E253" s="6" t="s">
        <v>14</v>
      </c>
      <c r="F253" s="6" t="s">
        <v>22</v>
      </c>
      <c r="G253" s="6">
        <v>10000</v>
      </c>
      <c r="H253" s="6">
        <v>72000</v>
      </c>
      <c r="I253" s="6" t="s">
        <v>23</v>
      </c>
      <c r="J253" s="6">
        <v>12000</v>
      </c>
      <c r="K253" s="6">
        <v>700</v>
      </c>
      <c r="L253" s="6" t="s">
        <v>31</v>
      </c>
      <c r="M253" s="6" t="s">
        <v>82</v>
      </c>
      <c r="N253" s="6" t="s">
        <v>18</v>
      </c>
      <c r="O253" s="5">
        <v>8</v>
      </c>
      <c r="P253">
        <v>6</v>
      </c>
      <c r="Q253" t="b">
        <v>1</v>
      </c>
      <c r="R253" s="5" t="str">
        <v>Odd</v>
      </c>
      <c r="S253">
        <f t="shared" si="11"/>
        <v>42</v>
      </c>
      <c r="T253" t="str">
        <v>Good</v>
      </c>
      <c r="U253" t="str">
        <v/>
      </c>
      <c r="V253" t="b">
        <v>0</v>
      </c>
      <c r="W253" t="str" cm="1">
        <f t="array" ref="W253">IF(AND(D253:D601&gt;40, K253:K601&lt;300, H253:H601&lt;8000), "Not Eligible", "Eligible")</f>
        <v>Eligible</v>
      </c>
      <c r="X253" t="str">
        <f t="shared" si="12"/>
        <v>Good</v>
      </c>
      <c r="Y253" t="str">
        <f t="shared" si="13"/>
        <v>In Progress</v>
      </c>
      <c r="Z253" t="b">
        <v>0</v>
      </c>
    </row>
    <row r="254" spans="1:26" x14ac:dyDescent="0.3">
      <c r="A254" s="5">
        <f t="shared" si="14"/>
        <v>253</v>
      </c>
      <c r="B254" s="7" t="s">
        <v>163</v>
      </c>
      <c r="C254" s="7" t="s">
        <v>239</v>
      </c>
      <c r="D254" s="6">
        <v>26</v>
      </c>
      <c r="E254" s="6" t="s">
        <v>21</v>
      </c>
      <c r="F254" s="6" t="s">
        <v>15</v>
      </c>
      <c r="G254" s="6">
        <v>3500</v>
      </c>
      <c r="H254" s="6">
        <v>53000</v>
      </c>
      <c r="I254" s="6" t="s">
        <v>16</v>
      </c>
      <c r="J254" s="6">
        <v>0</v>
      </c>
      <c r="K254" s="6">
        <v>680</v>
      </c>
      <c r="L254" s="6" t="s">
        <v>17</v>
      </c>
      <c r="M254" s="6" t="s">
        <v>81</v>
      </c>
      <c r="N254" s="6" t="s">
        <v>25</v>
      </c>
      <c r="O254" s="5">
        <v>4</v>
      </c>
      <c r="P254" t="e">
        <v>#DIV/0!</v>
      </c>
      <c r="Q254" t="b">
        <v>0</v>
      </c>
      <c r="R254" s="5" t="str">
        <v>Even</v>
      </c>
      <c r="S254">
        <f t="shared" si="11"/>
        <v>70</v>
      </c>
      <c r="T254" t="str">
        <v/>
      </c>
      <c r="U254" t="str">
        <v>Bad</v>
      </c>
      <c r="V254" t="b">
        <v>0</v>
      </c>
      <c r="W254" t="str" cm="1">
        <f t="array" ref="W254">IF(AND(D254:D602&gt;40, K254:K602&lt;300, H254:H602&lt;8000), "Not Eligible", "Eligible")</f>
        <v>Eligible</v>
      </c>
      <c r="X254" t="str">
        <f t="shared" si="12"/>
        <v>Bad</v>
      </c>
      <c r="Y254" t="str">
        <f t="shared" si="13"/>
        <v/>
      </c>
      <c r="Z254" t="b">
        <v>1</v>
      </c>
    </row>
    <row r="255" spans="1:26" x14ac:dyDescent="0.3">
      <c r="A255" s="5">
        <f t="shared" si="14"/>
        <v>254</v>
      </c>
      <c r="B255" s="7" t="s">
        <v>314</v>
      </c>
      <c r="C255" s="7" t="s">
        <v>168</v>
      </c>
      <c r="D255" s="6">
        <v>33</v>
      </c>
      <c r="E255" s="6" t="s">
        <v>14</v>
      </c>
      <c r="F255" s="6" t="s">
        <v>22</v>
      </c>
      <c r="G255" s="6">
        <v>8000</v>
      </c>
      <c r="H255" s="6">
        <v>60000</v>
      </c>
      <c r="I255" s="6" t="s">
        <v>23</v>
      </c>
      <c r="J255" s="6">
        <v>8000</v>
      </c>
      <c r="K255" s="6">
        <v>710</v>
      </c>
      <c r="L255" s="6" t="s">
        <v>24</v>
      </c>
      <c r="M255" s="6" t="s">
        <v>80</v>
      </c>
      <c r="N255" s="6" t="s">
        <v>18</v>
      </c>
      <c r="O255" s="5">
        <v>3</v>
      </c>
      <c r="P255">
        <v>7.5</v>
      </c>
      <c r="Q255" t="b">
        <v>1</v>
      </c>
      <c r="R255" s="5" t="str">
        <v>Odd</v>
      </c>
      <c r="S255">
        <f t="shared" si="11"/>
        <v>27</v>
      </c>
      <c r="T255" t="str">
        <v>Good</v>
      </c>
      <c r="U255" t="str">
        <v/>
      </c>
      <c r="V255" t="b">
        <v>0</v>
      </c>
      <c r="W255" t="str" cm="1">
        <f t="array" ref="W255">IF(AND(D255:D603&gt;40, K255:K603&lt;300, H255:H603&lt;8000), "Not Eligible", "Eligible")</f>
        <v>Eligible</v>
      </c>
      <c r="X255" t="str">
        <f t="shared" si="12"/>
        <v>Good</v>
      </c>
      <c r="Y255" t="str">
        <f t="shared" si="13"/>
        <v>In Progress</v>
      </c>
      <c r="Z255" t="b">
        <v>0</v>
      </c>
    </row>
    <row r="256" spans="1:26" x14ac:dyDescent="0.3">
      <c r="A256" s="5">
        <f t="shared" si="14"/>
        <v>255</v>
      </c>
      <c r="B256" s="7" t="s">
        <v>147</v>
      </c>
      <c r="C256" s="7" t="s">
        <v>27</v>
      </c>
      <c r="D256" s="6">
        <v>46</v>
      </c>
      <c r="E256" s="6" t="s">
        <v>21</v>
      </c>
      <c r="F256" s="6" t="s">
        <v>15</v>
      </c>
      <c r="G256" s="6">
        <v>13000</v>
      </c>
      <c r="H256" s="6">
        <v>85000</v>
      </c>
      <c r="I256" s="6" t="s">
        <v>16</v>
      </c>
      <c r="J256" s="6">
        <v>0</v>
      </c>
      <c r="K256" s="6">
        <v>740</v>
      </c>
      <c r="L256" s="6" t="s">
        <v>28</v>
      </c>
      <c r="M256" s="6" t="s">
        <v>82</v>
      </c>
      <c r="N256" s="6" t="s">
        <v>25</v>
      </c>
      <c r="O256" s="5">
        <v>7</v>
      </c>
      <c r="P256" t="e">
        <v>#DIV/0!</v>
      </c>
      <c r="Q256" t="b">
        <v>0</v>
      </c>
      <c r="R256" s="5" t="str">
        <v>Even</v>
      </c>
      <c r="S256">
        <f t="shared" si="11"/>
        <v>2</v>
      </c>
      <c r="T256" t="str">
        <v/>
      </c>
      <c r="U256" t="str">
        <v>Bad</v>
      </c>
      <c r="V256" t="b">
        <v>0</v>
      </c>
      <c r="W256" t="str" cm="1">
        <f t="array" ref="W256">IF(AND(D256:D604&gt;40, K256:K604&lt;300, H256:H604&lt;8000), "Not Eligible", "Eligible")</f>
        <v>Eligible</v>
      </c>
      <c r="X256" t="str">
        <f t="shared" si="12"/>
        <v>Bad</v>
      </c>
      <c r="Y256" t="str">
        <f t="shared" si="13"/>
        <v/>
      </c>
      <c r="Z256" t="b">
        <v>1</v>
      </c>
    </row>
    <row r="257" spans="1:26" x14ac:dyDescent="0.3">
      <c r="A257" s="5">
        <f t="shared" si="14"/>
        <v>256</v>
      </c>
      <c r="B257" s="7" t="s">
        <v>118</v>
      </c>
      <c r="C257" s="7" t="s">
        <v>240</v>
      </c>
      <c r="D257" s="6">
        <v>52</v>
      </c>
      <c r="E257" s="6" t="s">
        <v>14</v>
      </c>
      <c r="F257" s="6" t="s">
        <v>22</v>
      </c>
      <c r="G257" s="6">
        <v>4000</v>
      </c>
      <c r="H257" s="6">
        <v>49000</v>
      </c>
      <c r="I257" s="6" t="s">
        <v>23</v>
      </c>
      <c r="J257" s="6">
        <v>7000</v>
      </c>
      <c r="K257" s="6">
        <v>690</v>
      </c>
      <c r="L257" s="6" t="s">
        <v>31</v>
      </c>
      <c r="M257" s="6" t="s">
        <v>80</v>
      </c>
      <c r="N257" s="6" t="s">
        <v>18</v>
      </c>
      <c r="O257" s="5">
        <v>12</v>
      </c>
      <c r="P257">
        <v>7</v>
      </c>
      <c r="Q257" t="b">
        <v>1</v>
      </c>
      <c r="R257" s="5" t="str">
        <v>Even</v>
      </c>
      <c r="S257">
        <f t="shared" si="11"/>
        <v>52</v>
      </c>
      <c r="T257" t="str">
        <v>Good</v>
      </c>
      <c r="U257" t="str">
        <v/>
      </c>
      <c r="V257" t="b">
        <v>0</v>
      </c>
      <c r="W257" t="str" cm="1">
        <f t="array" ref="W257">IF(AND(D257:D605&gt;40, K257:K605&lt;300, H257:H605&lt;8000), "Not Eligible", "Eligible")</f>
        <v>Eligible</v>
      </c>
      <c r="X257" t="str">
        <f t="shared" si="12"/>
        <v>Good</v>
      </c>
      <c r="Y257" t="str">
        <f t="shared" si="13"/>
        <v>In Progress</v>
      </c>
      <c r="Z257" t="b">
        <v>0</v>
      </c>
    </row>
    <row r="258" spans="1:26" x14ac:dyDescent="0.3">
      <c r="A258" s="5">
        <f t="shared" si="14"/>
        <v>257</v>
      </c>
      <c r="B258" s="7" t="s">
        <v>219</v>
      </c>
      <c r="C258" s="7" t="s">
        <v>198</v>
      </c>
      <c r="D258" s="6">
        <v>24</v>
      </c>
      <c r="E258" s="6" t="s">
        <v>14</v>
      </c>
      <c r="F258" s="6" t="s">
        <v>15</v>
      </c>
      <c r="G258" s="6">
        <v>2200</v>
      </c>
      <c r="H258" s="6">
        <v>45000</v>
      </c>
      <c r="I258" s="6" t="s">
        <v>16</v>
      </c>
      <c r="J258" s="6">
        <v>0</v>
      </c>
      <c r="K258" s="6">
        <v>670</v>
      </c>
      <c r="L258" s="6" t="s">
        <v>17</v>
      </c>
      <c r="M258" s="6" t="s">
        <v>81</v>
      </c>
      <c r="N258" s="6" t="s">
        <v>25</v>
      </c>
      <c r="O258" s="5">
        <v>11</v>
      </c>
      <c r="P258" t="e">
        <v>#DIV/0!</v>
      </c>
      <c r="Q258" t="b">
        <v>0</v>
      </c>
      <c r="R258" s="5" t="str">
        <v>Even</v>
      </c>
      <c r="S258">
        <f t="shared" si="11"/>
        <v>85</v>
      </c>
      <c r="T258" t="str">
        <v/>
      </c>
      <c r="U258" t="str">
        <v>Bad</v>
      </c>
      <c r="V258" t="b">
        <v>0</v>
      </c>
      <c r="W258" t="str" cm="1">
        <f t="array" ref="W258">IF(AND(D258:D606&gt;40, K258:K606&lt;300, H258:H606&lt;8000), "Not Eligible", "Eligible")</f>
        <v>Eligible</v>
      </c>
      <c r="X258" t="str">
        <f t="shared" si="12"/>
        <v>Good</v>
      </c>
      <c r="Y258" t="str">
        <f t="shared" si="13"/>
        <v/>
      </c>
      <c r="Z258" t="b">
        <v>1</v>
      </c>
    </row>
    <row r="259" spans="1:26" x14ac:dyDescent="0.3">
      <c r="A259" s="5">
        <f t="shared" si="14"/>
        <v>258</v>
      </c>
      <c r="B259" s="7" t="s">
        <v>135</v>
      </c>
      <c r="C259" s="7" t="s">
        <v>182</v>
      </c>
      <c r="D259" s="6">
        <v>38</v>
      </c>
      <c r="E259" s="6" t="s">
        <v>14</v>
      </c>
      <c r="F259" s="6" t="s">
        <v>22</v>
      </c>
      <c r="G259" s="6">
        <v>15000</v>
      </c>
      <c r="H259" s="6">
        <v>77000</v>
      </c>
      <c r="I259" s="6" t="s">
        <v>23</v>
      </c>
      <c r="J259" s="6">
        <v>15000</v>
      </c>
      <c r="K259" s="6">
        <v>720</v>
      </c>
      <c r="L259" s="6" t="s">
        <v>24</v>
      </c>
      <c r="M259" s="6" t="s">
        <v>82</v>
      </c>
      <c r="N259" s="6" t="s">
        <v>18</v>
      </c>
      <c r="O259" s="5">
        <v>3</v>
      </c>
      <c r="P259">
        <v>5.1333333333333337</v>
      </c>
      <c r="Q259" t="b">
        <v>1</v>
      </c>
      <c r="R259" s="5" t="str">
        <v>Even</v>
      </c>
      <c r="S259">
        <f t="shared" ref="S259:S322" si="15">_xlfn.RANK.EQ(K259,K259:K607,0)</f>
        <v>7</v>
      </c>
      <c r="T259" t="str">
        <v>Good</v>
      </c>
      <c r="U259" t="str">
        <v/>
      </c>
      <c r="V259" t="b">
        <v>0</v>
      </c>
      <c r="W259" t="str" cm="1">
        <f t="array" ref="W259">IF(AND(D259:D607&gt;40, K259:K607&lt;300, H259:H607&lt;8000), "Not Eligible", "Eligible")</f>
        <v>Eligible</v>
      </c>
      <c r="X259" t="str">
        <f t="shared" ref="X259:X322" si="16">IF(AND(E259="M",K259&gt;500,G259&gt;2000),"Good", "Bad")</f>
        <v>Good</v>
      </c>
      <c r="Y259" t="str">
        <f t="shared" ref="Y259:Y322" si="17">IF(AND(M259&lt;&gt;"none",N259="Active"),"In Progress", "")</f>
        <v>In Progress</v>
      </c>
      <c r="Z259" t="b">
        <v>0</v>
      </c>
    </row>
    <row r="260" spans="1:26" x14ac:dyDescent="0.3">
      <c r="A260" s="5">
        <f t="shared" si="14"/>
        <v>259</v>
      </c>
      <c r="B260" s="7" t="s">
        <v>139</v>
      </c>
      <c r="C260" s="7" t="s">
        <v>41</v>
      </c>
      <c r="D260" s="6">
        <v>27</v>
      </c>
      <c r="E260" s="6" t="s">
        <v>21</v>
      </c>
      <c r="F260" s="6" t="s">
        <v>15</v>
      </c>
      <c r="G260" s="6">
        <v>4000</v>
      </c>
      <c r="H260" s="6">
        <v>50000</v>
      </c>
      <c r="I260" s="6" t="s">
        <v>16</v>
      </c>
      <c r="J260" s="6">
        <v>0</v>
      </c>
      <c r="K260" s="6">
        <v>680</v>
      </c>
      <c r="L260" s="6" t="s">
        <v>28</v>
      </c>
      <c r="M260" s="6" t="s">
        <v>80</v>
      </c>
      <c r="N260" s="6" t="s">
        <v>25</v>
      </c>
      <c r="O260" s="5">
        <v>5</v>
      </c>
      <c r="P260" t="e">
        <v>#DIV/0!</v>
      </c>
      <c r="Q260" t="b">
        <v>0</v>
      </c>
      <c r="R260" s="5" t="str">
        <v>Odd</v>
      </c>
      <c r="S260">
        <f t="shared" si="15"/>
        <v>66</v>
      </c>
      <c r="T260" t="str">
        <v/>
      </c>
      <c r="U260" t="str">
        <v>Bad</v>
      </c>
      <c r="V260" t="b">
        <v>0</v>
      </c>
      <c r="W260" t="str" cm="1">
        <f t="array" ref="W260">IF(AND(D260:D608&gt;40, K260:K608&lt;300, H260:H608&lt;8000), "Not Eligible", "Eligible")</f>
        <v>Eligible</v>
      </c>
      <c r="X260" t="str">
        <f t="shared" si="16"/>
        <v>Bad</v>
      </c>
      <c r="Y260" t="str">
        <f t="shared" si="17"/>
        <v/>
      </c>
      <c r="Z260" t="b">
        <v>1</v>
      </c>
    </row>
    <row r="261" spans="1:26" x14ac:dyDescent="0.3">
      <c r="A261" s="5">
        <f t="shared" si="14"/>
        <v>260</v>
      </c>
      <c r="B261" s="7" t="s">
        <v>36</v>
      </c>
      <c r="C261" s="7" t="s">
        <v>315</v>
      </c>
      <c r="D261" s="6">
        <v>41</v>
      </c>
      <c r="E261" s="6" t="s">
        <v>14</v>
      </c>
      <c r="F261" s="6" t="s">
        <v>22</v>
      </c>
      <c r="G261" s="6">
        <v>9000</v>
      </c>
      <c r="H261" s="6">
        <v>69000</v>
      </c>
      <c r="I261" s="6" t="s">
        <v>23</v>
      </c>
      <c r="J261" s="6">
        <v>12000</v>
      </c>
      <c r="K261" s="6">
        <v>700</v>
      </c>
      <c r="L261" s="6" t="s">
        <v>31</v>
      </c>
      <c r="M261" s="6" t="s">
        <v>82</v>
      </c>
      <c r="N261" s="6" t="s">
        <v>18</v>
      </c>
      <c r="O261" s="5">
        <v>3</v>
      </c>
      <c r="P261">
        <v>5.75</v>
      </c>
      <c r="Q261" t="b">
        <v>1</v>
      </c>
      <c r="R261" s="5" t="str">
        <v>Odd</v>
      </c>
      <c r="S261">
        <f t="shared" si="15"/>
        <v>39</v>
      </c>
      <c r="T261" t="str">
        <v>Good</v>
      </c>
      <c r="U261" t="str">
        <v/>
      </c>
      <c r="V261" t="b">
        <v>0</v>
      </c>
      <c r="W261" t="str" cm="1">
        <f t="array" ref="W261">IF(AND(D261:D609&gt;40, K261:K609&lt;300, H261:H609&lt;8000), "Not Eligible", "Eligible")</f>
        <v>Eligible</v>
      </c>
      <c r="X261" t="str">
        <f t="shared" si="16"/>
        <v>Good</v>
      </c>
      <c r="Y261" t="str">
        <f t="shared" si="17"/>
        <v>In Progress</v>
      </c>
      <c r="Z261" t="b">
        <v>0</v>
      </c>
    </row>
    <row r="262" spans="1:26" x14ac:dyDescent="0.3">
      <c r="A262" s="5">
        <f t="shared" si="14"/>
        <v>261</v>
      </c>
      <c r="B262" s="7" t="s">
        <v>290</v>
      </c>
      <c r="C262" s="7" t="s">
        <v>229</v>
      </c>
      <c r="D262" s="6">
        <v>32</v>
      </c>
      <c r="E262" s="6" t="s">
        <v>21</v>
      </c>
      <c r="F262" s="6" t="s">
        <v>15</v>
      </c>
      <c r="G262" s="6">
        <v>5500</v>
      </c>
      <c r="H262" s="6">
        <v>54000</v>
      </c>
      <c r="I262" s="6" t="s">
        <v>16</v>
      </c>
      <c r="J262" s="6">
        <v>0</v>
      </c>
      <c r="K262" s="6">
        <v>710</v>
      </c>
      <c r="L262" s="6" t="s">
        <v>17</v>
      </c>
      <c r="M262" s="6" t="s">
        <v>80</v>
      </c>
      <c r="N262" s="6" t="s">
        <v>25</v>
      </c>
      <c r="O262" s="5">
        <v>11</v>
      </c>
      <c r="P262" t="e">
        <v>#DIV/0!</v>
      </c>
      <c r="Q262" t="b">
        <v>0</v>
      </c>
      <c r="R262" s="5" t="str">
        <v>Even</v>
      </c>
      <c r="S262">
        <f t="shared" si="15"/>
        <v>25</v>
      </c>
      <c r="T262" t="str">
        <v/>
      </c>
      <c r="U262" t="str">
        <v>Bad</v>
      </c>
      <c r="V262" t="b">
        <v>0</v>
      </c>
      <c r="W262" t="str" cm="1">
        <f t="array" ref="W262">IF(AND(D262:D610&gt;40, K262:K610&lt;300, H262:H610&lt;8000), "Not Eligible", "Eligible")</f>
        <v>Eligible</v>
      </c>
      <c r="X262" t="str">
        <f t="shared" si="16"/>
        <v>Bad</v>
      </c>
      <c r="Y262" t="str">
        <f t="shared" si="17"/>
        <v/>
      </c>
      <c r="Z262" t="b">
        <v>1</v>
      </c>
    </row>
    <row r="263" spans="1:26" x14ac:dyDescent="0.3">
      <c r="A263" s="5">
        <f t="shared" si="14"/>
        <v>262</v>
      </c>
      <c r="B263" s="7" t="s">
        <v>203</v>
      </c>
      <c r="C263" s="7" t="s">
        <v>63</v>
      </c>
      <c r="D263" s="6">
        <v>47</v>
      </c>
      <c r="E263" s="6" t="s">
        <v>14</v>
      </c>
      <c r="F263" s="6" t="s">
        <v>22</v>
      </c>
      <c r="G263" s="6">
        <v>7000</v>
      </c>
      <c r="H263" s="6">
        <v>74000</v>
      </c>
      <c r="I263" s="6" t="s">
        <v>23</v>
      </c>
      <c r="J263" s="6">
        <v>10000</v>
      </c>
      <c r="K263" s="6">
        <v>690</v>
      </c>
      <c r="L263" s="6" t="s">
        <v>24</v>
      </c>
      <c r="M263" s="6" t="s">
        <v>81</v>
      </c>
      <c r="N263" s="6" t="s">
        <v>18</v>
      </c>
      <c r="O263" s="5">
        <v>11</v>
      </c>
      <c r="P263">
        <v>7.4</v>
      </c>
      <c r="Q263" t="b">
        <v>1</v>
      </c>
      <c r="R263" s="5" t="str">
        <v>Odd</v>
      </c>
      <c r="S263">
        <f t="shared" si="15"/>
        <v>49</v>
      </c>
      <c r="T263" t="str">
        <v>Good</v>
      </c>
      <c r="U263" t="str">
        <v/>
      </c>
      <c r="V263" t="b">
        <v>0</v>
      </c>
      <c r="W263" t="str" cm="1">
        <f t="array" ref="W263">IF(AND(D263:D611&gt;40, K263:K611&lt;300, H263:H611&lt;8000), "Not Eligible", "Eligible")</f>
        <v>Eligible</v>
      </c>
      <c r="X263" t="str">
        <f t="shared" si="16"/>
        <v>Good</v>
      </c>
      <c r="Y263" t="str">
        <f t="shared" si="17"/>
        <v>In Progress</v>
      </c>
      <c r="Z263" t="b">
        <v>0</v>
      </c>
    </row>
    <row r="264" spans="1:26" x14ac:dyDescent="0.3">
      <c r="A264" s="5">
        <f t="shared" si="14"/>
        <v>263</v>
      </c>
      <c r="B264" s="7" t="s">
        <v>316</v>
      </c>
      <c r="C264" s="7" t="s">
        <v>168</v>
      </c>
      <c r="D264" s="6">
        <v>35</v>
      </c>
      <c r="E264" s="6" t="s">
        <v>21</v>
      </c>
      <c r="F264" s="6" t="s">
        <v>15</v>
      </c>
      <c r="G264" s="6">
        <v>6000</v>
      </c>
      <c r="H264" s="6">
        <v>68000</v>
      </c>
      <c r="I264" s="6" t="s">
        <v>16</v>
      </c>
      <c r="J264" s="6">
        <v>0</v>
      </c>
      <c r="K264" s="6">
        <v>720</v>
      </c>
      <c r="L264" s="6" t="s">
        <v>28</v>
      </c>
      <c r="M264" s="6" t="s">
        <v>81</v>
      </c>
      <c r="N264" s="6" t="s">
        <v>25</v>
      </c>
      <c r="O264" s="5">
        <v>6</v>
      </c>
      <c r="P264" t="e">
        <v>#DIV/0!</v>
      </c>
      <c r="Q264" t="b">
        <v>0</v>
      </c>
      <c r="R264" s="5" t="str">
        <v>Odd</v>
      </c>
      <c r="S264">
        <f t="shared" si="15"/>
        <v>7</v>
      </c>
      <c r="T264" t="str">
        <v/>
      </c>
      <c r="U264" t="str">
        <v>Bad</v>
      </c>
      <c r="V264" t="b">
        <v>0</v>
      </c>
      <c r="W264" t="str" cm="1">
        <f t="array" ref="W264">IF(AND(D264:D612&gt;40, K264:K612&lt;300, H264:H612&lt;8000), "Not Eligible", "Eligible")</f>
        <v>Eligible</v>
      </c>
      <c r="X264" t="str">
        <f t="shared" si="16"/>
        <v>Bad</v>
      </c>
      <c r="Y264" t="str">
        <f t="shared" si="17"/>
        <v/>
      </c>
      <c r="Z264" t="b">
        <v>1</v>
      </c>
    </row>
    <row r="265" spans="1:26" x14ac:dyDescent="0.3">
      <c r="A265" s="5">
        <f t="shared" si="14"/>
        <v>264</v>
      </c>
      <c r="B265" s="7" t="s">
        <v>317</v>
      </c>
      <c r="C265" s="7" t="s">
        <v>194</v>
      </c>
      <c r="D265" s="6">
        <v>29</v>
      </c>
      <c r="E265" s="6" t="s">
        <v>14</v>
      </c>
      <c r="F265" s="6" t="s">
        <v>22</v>
      </c>
      <c r="G265" s="6">
        <v>2500</v>
      </c>
      <c r="H265" s="6">
        <v>45000</v>
      </c>
      <c r="I265" s="6" t="s">
        <v>23</v>
      </c>
      <c r="J265" s="6">
        <v>5000</v>
      </c>
      <c r="K265" s="6">
        <v>670</v>
      </c>
      <c r="L265" s="6" t="s">
        <v>31</v>
      </c>
      <c r="M265" s="6" t="s">
        <v>81</v>
      </c>
      <c r="N265" s="6" t="s">
        <v>18</v>
      </c>
      <c r="O265" s="5">
        <v>6</v>
      </c>
      <c r="P265">
        <v>9</v>
      </c>
      <c r="Q265" t="b">
        <v>1</v>
      </c>
      <c r="R265" s="5" t="str">
        <v>Odd</v>
      </c>
      <c r="S265">
        <f t="shared" si="15"/>
        <v>79</v>
      </c>
      <c r="T265" t="str">
        <v>Good</v>
      </c>
      <c r="U265" t="str">
        <v/>
      </c>
      <c r="V265" t="b">
        <v>0</v>
      </c>
      <c r="W265" t="str" cm="1">
        <f t="array" ref="W265">IF(AND(D265:D613&gt;40, K265:K613&lt;300, H265:H613&lt;8000), "Not Eligible", "Eligible")</f>
        <v>Eligible</v>
      </c>
      <c r="X265" t="str">
        <f t="shared" si="16"/>
        <v>Good</v>
      </c>
      <c r="Y265" t="str">
        <f t="shared" si="17"/>
        <v>In Progress</v>
      </c>
      <c r="Z265" t="b">
        <v>0</v>
      </c>
    </row>
    <row r="266" spans="1:26" x14ac:dyDescent="0.3">
      <c r="A266" s="5">
        <f t="shared" si="14"/>
        <v>265</v>
      </c>
      <c r="B266" s="7" t="s">
        <v>38</v>
      </c>
      <c r="C266" s="7" t="s">
        <v>20</v>
      </c>
      <c r="D266" s="6">
        <v>42</v>
      </c>
      <c r="E266" s="6" t="s">
        <v>21</v>
      </c>
      <c r="F266" s="6" t="s">
        <v>15</v>
      </c>
      <c r="G266" s="6">
        <v>11000</v>
      </c>
      <c r="H266" s="6">
        <v>80000</v>
      </c>
      <c r="I266" s="6" t="s">
        <v>16</v>
      </c>
      <c r="J266" s="6">
        <v>0</v>
      </c>
      <c r="K266" s="6">
        <v>740</v>
      </c>
      <c r="L266" s="6" t="s">
        <v>17</v>
      </c>
      <c r="M266" s="6" t="s">
        <v>82</v>
      </c>
      <c r="N266" s="6" t="s">
        <v>25</v>
      </c>
      <c r="O266" s="5">
        <v>5</v>
      </c>
      <c r="P266" t="e">
        <v>#DIV/0!</v>
      </c>
      <c r="Q266" t="b">
        <v>0</v>
      </c>
      <c r="R266" s="5" t="str">
        <v>Even</v>
      </c>
      <c r="S266">
        <f t="shared" si="15"/>
        <v>2</v>
      </c>
      <c r="T266" t="str">
        <v/>
      </c>
      <c r="U266" t="str">
        <v>Bad</v>
      </c>
      <c r="V266" t="b">
        <v>0</v>
      </c>
      <c r="W266" t="str" cm="1">
        <f t="array" ref="W266">IF(AND(D266:D614&gt;40, K266:K614&lt;300, H266:H614&lt;8000), "Not Eligible", "Eligible")</f>
        <v>Eligible</v>
      </c>
      <c r="X266" t="str">
        <f t="shared" si="16"/>
        <v>Bad</v>
      </c>
      <c r="Y266" t="str">
        <f t="shared" si="17"/>
        <v/>
      </c>
      <c r="Z266" t="b">
        <v>1</v>
      </c>
    </row>
    <row r="267" spans="1:26" x14ac:dyDescent="0.3">
      <c r="A267" s="5">
        <f t="shared" si="14"/>
        <v>266</v>
      </c>
      <c r="B267" s="7" t="s">
        <v>117</v>
      </c>
      <c r="C267" s="7" t="s">
        <v>27</v>
      </c>
      <c r="D267" s="6">
        <v>50</v>
      </c>
      <c r="E267" s="6" t="s">
        <v>14</v>
      </c>
      <c r="F267" s="6" t="s">
        <v>22</v>
      </c>
      <c r="G267" s="6">
        <v>3000</v>
      </c>
      <c r="H267" s="6">
        <v>47000</v>
      </c>
      <c r="I267" s="6" t="s">
        <v>23</v>
      </c>
      <c r="J267" s="6">
        <v>8000</v>
      </c>
      <c r="K267" s="6">
        <v>680</v>
      </c>
      <c r="L267" s="6" t="s">
        <v>24</v>
      </c>
      <c r="M267" s="6" t="s">
        <v>82</v>
      </c>
      <c r="N267" s="6" t="s">
        <v>18</v>
      </c>
      <c r="O267" s="5">
        <v>4</v>
      </c>
      <c r="P267">
        <v>5.875</v>
      </c>
      <c r="Q267" t="b">
        <v>1</v>
      </c>
      <c r="R267" s="5" t="str">
        <v>Even</v>
      </c>
      <c r="S267">
        <f t="shared" si="15"/>
        <v>61</v>
      </c>
      <c r="T267" t="str">
        <v>Good</v>
      </c>
      <c r="U267" t="str">
        <v/>
      </c>
      <c r="V267" t="b">
        <v>0</v>
      </c>
      <c r="W267" t="str" cm="1">
        <f t="array" ref="W267">IF(AND(D267:D615&gt;40, K267:K615&lt;300, H267:H615&lt;8000), "Not Eligible", "Eligible")</f>
        <v>Eligible</v>
      </c>
      <c r="X267" t="str">
        <f t="shared" si="16"/>
        <v>Good</v>
      </c>
      <c r="Y267" t="str">
        <f t="shared" si="17"/>
        <v>In Progress</v>
      </c>
      <c r="Z267" t="b">
        <v>0</v>
      </c>
    </row>
    <row r="268" spans="1:26" x14ac:dyDescent="0.3">
      <c r="A268" s="5">
        <f t="shared" si="14"/>
        <v>267</v>
      </c>
      <c r="B268" s="7" t="s">
        <v>12</v>
      </c>
      <c r="C268" s="7" t="s">
        <v>30</v>
      </c>
      <c r="D268" s="6">
        <v>28</v>
      </c>
      <c r="E268" s="6" t="s">
        <v>21</v>
      </c>
      <c r="F268" s="6" t="s">
        <v>15</v>
      </c>
      <c r="G268" s="6">
        <v>4000</v>
      </c>
      <c r="H268" s="6">
        <v>53000</v>
      </c>
      <c r="I268" s="6" t="s">
        <v>16</v>
      </c>
      <c r="J268" s="6">
        <v>0</v>
      </c>
      <c r="K268" s="6">
        <v>690</v>
      </c>
      <c r="L268" s="6" t="s">
        <v>28</v>
      </c>
      <c r="M268" s="6" t="s">
        <v>80</v>
      </c>
      <c r="N268" s="6" t="s">
        <v>25</v>
      </c>
      <c r="O268" s="5">
        <v>6</v>
      </c>
      <c r="P268" t="e">
        <v>#DIV/0!</v>
      </c>
      <c r="Q268" t="b">
        <v>0</v>
      </c>
      <c r="R268" s="5" t="str">
        <v>Even</v>
      </c>
      <c r="S268">
        <f t="shared" si="15"/>
        <v>47</v>
      </c>
      <c r="T268" t="str">
        <v/>
      </c>
      <c r="U268" t="str">
        <v>Bad</v>
      </c>
      <c r="V268" t="b">
        <v>0</v>
      </c>
      <c r="W268" t="str" cm="1">
        <f t="array" ref="W268">IF(AND(D268:D616&gt;40, K268:K616&lt;300, H268:H616&lt;8000), "Not Eligible", "Eligible")</f>
        <v>Eligible</v>
      </c>
      <c r="X268" t="str">
        <f t="shared" si="16"/>
        <v>Bad</v>
      </c>
      <c r="Y268" t="str">
        <f t="shared" si="17"/>
        <v/>
      </c>
      <c r="Z268" t="b">
        <v>1</v>
      </c>
    </row>
    <row r="269" spans="1:26" x14ac:dyDescent="0.3">
      <c r="A269" s="5">
        <f t="shared" si="14"/>
        <v>268</v>
      </c>
      <c r="B269" s="7" t="s">
        <v>118</v>
      </c>
      <c r="C269" s="7" t="s">
        <v>119</v>
      </c>
      <c r="D269" s="6">
        <v>36</v>
      </c>
      <c r="E269" s="6" t="s">
        <v>14</v>
      </c>
      <c r="F269" s="6" t="s">
        <v>22</v>
      </c>
      <c r="G269" s="6">
        <v>9000</v>
      </c>
      <c r="H269" s="6">
        <v>71000</v>
      </c>
      <c r="I269" s="6" t="s">
        <v>23</v>
      </c>
      <c r="J269" s="6">
        <v>13000</v>
      </c>
      <c r="K269" s="6">
        <v>700</v>
      </c>
      <c r="L269" s="6" t="s">
        <v>31</v>
      </c>
      <c r="M269" s="6" t="s">
        <v>81</v>
      </c>
      <c r="N269" s="6" t="s">
        <v>18</v>
      </c>
      <c r="O269" s="5">
        <v>5</v>
      </c>
      <c r="P269">
        <v>5.4615384615384617</v>
      </c>
      <c r="Q269" t="b">
        <v>1</v>
      </c>
      <c r="R269" s="5" t="str">
        <v>Even</v>
      </c>
      <c r="S269">
        <f t="shared" si="15"/>
        <v>36</v>
      </c>
      <c r="T269" t="str">
        <v>Good</v>
      </c>
      <c r="U269" t="str">
        <v/>
      </c>
      <c r="V269" t="b">
        <v>0</v>
      </c>
      <c r="W269" t="str" cm="1">
        <f t="array" ref="W269">IF(AND(D269:D617&gt;40, K269:K617&lt;300, H269:H617&lt;8000), "Not Eligible", "Eligible")</f>
        <v>Eligible</v>
      </c>
      <c r="X269" t="str">
        <f t="shared" si="16"/>
        <v>Good</v>
      </c>
      <c r="Y269" t="str">
        <f t="shared" si="17"/>
        <v>In Progress</v>
      </c>
      <c r="Z269" t="b">
        <v>0</v>
      </c>
    </row>
    <row r="270" spans="1:26" x14ac:dyDescent="0.3">
      <c r="A270" s="5">
        <f t="shared" si="14"/>
        <v>269</v>
      </c>
      <c r="B270" s="7" t="s">
        <v>120</v>
      </c>
      <c r="C270" s="7" t="s">
        <v>121</v>
      </c>
      <c r="D270" s="6">
        <v>41</v>
      </c>
      <c r="E270" s="6" t="s">
        <v>21</v>
      </c>
      <c r="F270" s="6" t="s">
        <v>15</v>
      </c>
      <c r="G270" s="6">
        <v>8000</v>
      </c>
      <c r="H270" s="6">
        <v>67000</v>
      </c>
      <c r="I270" s="6" t="s">
        <v>16</v>
      </c>
      <c r="J270" s="6">
        <v>0</v>
      </c>
      <c r="K270" s="6">
        <v>710</v>
      </c>
      <c r="L270" s="6" t="s">
        <v>17</v>
      </c>
      <c r="M270" s="6" t="s">
        <v>82</v>
      </c>
      <c r="N270" s="6" t="s">
        <v>25</v>
      </c>
      <c r="O270" s="5">
        <v>14</v>
      </c>
      <c r="P270" t="e">
        <v>#DIV/0!</v>
      </c>
      <c r="Q270" t="b">
        <v>0</v>
      </c>
      <c r="R270" s="5" t="str">
        <v>Odd</v>
      </c>
      <c r="S270">
        <f t="shared" si="15"/>
        <v>23</v>
      </c>
      <c r="T270" t="str">
        <v/>
      </c>
      <c r="U270" t="str">
        <v>Bad</v>
      </c>
      <c r="V270" t="b">
        <v>0</v>
      </c>
      <c r="W270" t="str" cm="1">
        <f t="array" ref="W270">IF(AND(D270:D618&gt;40, K270:K618&lt;300, H270:H618&lt;8000), "Not Eligible", "Eligible")</f>
        <v>Eligible</v>
      </c>
      <c r="X270" t="str">
        <f t="shared" si="16"/>
        <v>Bad</v>
      </c>
      <c r="Y270" t="str">
        <f t="shared" si="17"/>
        <v/>
      </c>
      <c r="Z270" t="b">
        <v>1</v>
      </c>
    </row>
    <row r="271" spans="1:26" x14ac:dyDescent="0.3">
      <c r="A271" s="5">
        <f t="shared" si="14"/>
        <v>270</v>
      </c>
      <c r="B271" s="7" t="s">
        <v>122</v>
      </c>
      <c r="C271" s="7" t="s">
        <v>123</v>
      </c>
      <c r="D271" s="6">
        <v>30</v>
      </c>
      <c r="E271" s="6" t="s">
        <v>14</v>
      </c>
      <c r="F271" s="6" t="s">
        <v>22</v>
      </c>
      <c r="G271" s="6">
        <v>5000</v>
      </c>
      <c r="H271" s="6">
        <v>55000</v>
      </c>
      <c r="I271" s="6" t="s">
        <v>23</v>
      </c>
      <c r="J271" s="6">
        <v>7000</v>
      </c>
      <c r="K271" s="6">
        <v>690</v>
      </c>
      <c r="L271" s="6" t="s">
        <v>24</v>
      </c>
      <c r="M271" s="6" t="s">
        <v>82</v>
      </c>
      <c r="N271" s="6" t="s">
        <v>18</v>
      </c>
      <c r="O271" s="5">
        <v>12</v>
      </c>
      <c r="P271">
        <v>7.8571428571428568</v>
      </c>
      <c r="Q271" t="b">
        <v>1</v>
      </c>
      <c r="R271" s="5" t="str">
        <v>Even</v>
      </c>
      <c r="S271">
        <f t="shared" si="15"/>
        <v>45</v>
      </c>
      <c r="T271" t="str">
        <v>Good</v>
      </c>
      <c r="U271" t="str">
        <v/>
      </c>
      <c r="V271" t="b">
        <v>0</v>
      </c>
      <c r="W271" t="str" cm="1">
        <f t="array" ref="W271">IF(AND(D271:D619&gt;40, K271:K619&lt;300, H271:H619&lt;8000), "Not Eligible", "Eligible")</f>
        <v>Eligible</v>
      </c>
      <c r="X271" t="str">
        <f t="shared" si="16"/>
        <v>Good</v>
      </c>
      <c r="Y271" t="str">
        <f t="shared" si="17"/>
        <v>In Progress</v>
      </c>
      <c r="Z271" t="b">
        <v>0</v>
      </c>
    </row>
    <row r="272" spans="1:26" x14ac:dyDescent="0.3">
      <c r="A272" s="5">
        <f t="shared" si="14"/>
        <v>271</v>
      </c>
      <c r="B272" s="7" t="s">
        <v>29</v>
      </c>
      <c r="C272" s="7" t="s">
        <v>33</v>
      </c>
      <c r="D272" s="6">
        <v>29</v>
      </c>
      <c r="E272" s="6" t="s">
        <v>21</v>
      </c>
      <c r="F272" s="6" t="s">
        <v>15</v>
      </c>
      <c r="G272" s="6">
        <v>3000</v>
      </c>
      <c r="H272" s="6">
        <v>48000</v>
      </c>
      <c r="I272" s="6" t="s">
        <v>16</v>
      </c>
      <c r="J272" s="6">
        <v>0</v>
      </c>
      <c r="K272" s="6">
        <v>670</v>
      </c>
      <c r="L272" s="6" t="s">
        <v>28</v>
      </c>
      <c r="M272" s="6" t="s">
        <v>80</v>
      </c>
      <c r="N272" s="6" t="s">
        <v>25</v>
      </c>
      <c r="O272" s="5">
        <v>11</v>
      </c>
      <c r="P272" t="e">
        <v>#DIV/0!</v>
      </c>
      <c r="Q272" t="b">
        <v>0</v>
      </c>
      <c r="R272" s="5" t="str">
        <v>Odd</v>
      </c>
      <c r="S272">
        <f t="shared" si="15"/>
        <v>73</v>
      </c>
      <c r="T272" t="str">
        <v/>
      </c>
      <c r="U272" t="str">
        <v>Bad</v>
      </c>
      <c r="V272" t="b">
        <v>0</v>
      </c>
      <c r="W272" t="str" cm="1">
        <f t="array" ref="W272">IF(AND(D272:D620&gt;40, K272:K620&lt;300, H272:H620&lt;8000), "Not Eligible", "Eligible")</f>
        <v>Eligible</v>
      </c>
      <c r="X272" t="str">
        <f t="shared" si="16"/>
        <v>Bad</v>
      </c>
      <c r="Y272" t="str">
        <f t="shared" si="17"/>
        <v/>
      </c>
      <c r="Z272" t="b">
        <v>1</v>
      </c>
    </row>
    <row r="273" spans="1:26" x14ac:dyDescent="0.3">
      <c r="A273" s="5">
        <f t="shared" si="14"/>
        <v>272</v>
      </c>
      <c r="B273" s="7" t="s">
        <v>124</v>
      </c>
      <c r="C273" s="7" t="s">
        <v>125</v>
      </c>
      <c r="D273" s="6">
        <v>34</v>
      </c>
      <c r="E273" s="6" t="s">
        <v>14</v>
      </c>
      <c r="F273" s="6" t="s">
        <v>22</v>
      </c>
      <c r="G273" s="6">
        <v>11000</v>
      </c>
      <c r="H273" s="6">
        <v>62000</v>
      </c>
      <c r="I273" s="6" t="s">
        <v>23</v>
      </c>
      <c r="J273" s="6">
        <v>12000</v>
      </c>
      <c r="K273" s="6">
        <v>720</v>
      </c>
      <c r="L273" s="6" t="s">
        <v>31</v>
      </c>
      <c r="M273" s="6" t="s">
        <v>80</v>
      </c>
      <c r="N273" s="6" t="s">
        <v>18</v>
      </c>
      <c r="O273" s="5">
        <v>8</v>
      </c>
      <c r="P273">
        <v>5.166666666666667</v>
      </c>
      <c r="Q273" t="b">
        <v>1</v>
      </c>
      <c r="R273" s="5" t="str">
        <v>Even</v>
      </c>
      <c r="S273">
        <f t="shared" si="15"/>
        <v>6</v>
      </c>
      <c r="T273" t="str">
        <v>Good</v>
      </c>
      <c r="U273" t="str">
        <v/>
      </c>
      <c r="V273" t="b">
        <v>0</v>
      </c>
      <c r="W273" t="str" cm="1">
        <f t="array" ref="W273">IF(AND(D273:D621&gt;40, K273:K621&lt;300, H273:H621&lt;8000), "Not Eligible", "Eligible")</f>
        <v>Eligible</v>
      </c>
      <c r="X273" t="str">
        <f t="shared" si="16"/>
        <v>Good</v>
      </c>
      <c r="Y273" t="str">
        <f t="shared" si="17"/>
        <v>In Progress</v>
      </c>
      <c r="Z273" t="b">
        <v>0</v>
      </c>
    </row>
    <row r="274" spans="1:26" x14ac:dyDescent="0.3">
      <c r="A274" s="5">
        <f t="shared" si="14"/>
        <v>273</v>
      </c>
      <c r="B274" s="7" t="s">
        <v>34</v>
      </c>
      <c r="C274" s="7" t="s">
        <v>126</v>
      </c>
      <c r="D274" s="6">
        <v>37</v>
      </c>
      <c r="E274" s="6" t="s">
        <v>21</v>
      </c>
      <c r="F274" s="6" t="s">
        <v>15</v>
      </c>
      <c r="G274" s="6">
        <v>5500</v>
      </c>
      <c r="H274" s="6">
        <v>69000</v>
      </c>
      <c r="I274" s="6" t="s">
        <v>16</v>
      </c>
      <c r="J274" s="6">
        <v>0</v>
      </c>
      <c r="K274" s="6">
        <v>710</v>
      </c>
      <c r="L274" s="6" t="s">
        <v>17</v>
      </c>
      <c r="M274" s="6" t="s">
        <v>80</v>
      </c>
      <c r="N274" s="6" t="s">
        <v>25</v>
      </c>
      <c r="O274" s="5">
        <v>4</v>
      </c>
      <c r="P274" t="e">
        <v>#DIV/0!</v>
      </c>
      <c r="Q274" t="b">
        <v>0</v>
      </c>
      <c r="R274" s="5" t="str">
        <v>Odd</v>
      </c>
      <c r="S274">
        <f t="shared" si="15"/>
        <v>22</v>
      </c>
      <c r="T274" t="str">
        <v/>
      </c>
      <c r="U274" t="str">
        <v>Bad</v>
      </c>
      <c r="V274" t="b">
        <v>0</v>
      </c>
      <c r="W274" t="str" cm="1">
        <f t="array" ref="W274">IF(AND(D274:D622&gt;40, K274:K622&lt;300, H274:H622&lt;8000), "Not Eligible", "Eligible")</f>
        <v>Eligible</v>
      </c>
      <c r="X274" t="str">
        <f t="shared" si="16"/>
        <v>Bad</v>
      </c>
      <c r="Y274" t="str">
        <f t="shared" si="17"/>
        <v/>
      </c>
      <c r="Z274" t="b">
        <v>1</v>
      </c>
    </row>
    <row r="275" spans="1:26" x14ac:dyDescent="0.3">
      <c r="A275" s="5">
        <f t="shared" si="14"/>
        <v>274</v>
      </c>
      <c r="B275" s="7" t="s">
        <v>127</v>
      </c>
      <c r="C275" s="7" t="s">
        <v>39</v>
      </c>
      <c r="D275" s="6">
        <v>45</v>
      </c>
      <c r="E275" s="6" t="s">
        <v>14</v>
      </c>
      <c r="F275" s="6" t="s">
        <v>15</v>
      </c>
      <c r="G275" s="6">
        <v>7000</v>
      </c>
      <c r="H275" s="6">
        <v>74000</v>
      </c>
      <c r="I275" s="6" t="s">
        <v>23</v>
      </c>
      <c r="J275" s="6">
        <v>15000</v>
      </c>
      <c r="K275" s="6">
        <v>680</v>
      </c>
      <c r="L275" s="6" t="s">
        <v>24</v>
      </c>
      <c r="M275" s="6" t="s">
        <v>80</v>
      </c>
      <c r="N275" s="6" t="s">
        <v>18</v>
      </c>
      <c r="O275" s="5">
        <v>13</v>
      </c>
      <c r="P275">
        <v>4.9333333333333336</v>
      </c>
      <c r="Q275" t="b">
        <v>1</v>
      </c>
      <c r="R275" s="5" t="str">
        <v>Odd</v>
      </c>
      <c r="S275">
        <f t="shared" si="15"/>
        <v>55</v>
      </c>
      <c r="T275" t="str">
        <v>Good</v>
      </c>
      <c r="U275" t="str">
        <v/>
      </c>
      <c r="V275" t="b">
        <v>0</v>
      </c>
      <c r="W275" t="str" cm="1">
        <f t="array" ref="W275">IF(AND(D275:D623&gt;40, K275:K623&lt;300, H275:H623&lt;8000), "Not Eligible", "Eligible")</f>
        <v>Eligible</v>
      </c>
      <c r="X275" t="str">
        <f t="shared" si="16"/>
        <v>Good</v>
      </c>
      <c r="Y275" t="str">
        <f t="shared" si="17"/>
        <v>In Progress</v>
      </c>
      <c r="Z275" t="b">
        <v>0</v>
      </c>
    </row>
    <row r="276" spans="1:26" x14ac:dyDescent="0.3">
      <c r="A276" s="5">
        <f t="shared" si="14"/>
        <v>275</v>
      </c>
      <c r="B276" s="7" t="s">
        <v>128</v>
      </c>
      <c r="C276" s="7" t="s">
        <v>35</v>
      </c>
      <c r="D276" s="6">
        <v>40</v>
      </c>
      <c r="E276" s="6" t="s">
        <v>21</v>
      </c>
      <c r="F276" s="6" t="s">
        <v>15</v>
      </c>
      <c r="G276" s="6">
        <v>2000</v>
      </c>
      <c r="H276" s="6">
        <v>50000</v>
      </c>
      <c r="I276" s="6" t="s">
        <v>16</v>
      </c>
      <c r="J276" s="6">
        <v>0</v>
      </c>
      <c r="K276" s="6">
        <v>720</v>
      </c>
      <c r="L276" s="6" t="s">
        <v>28</v>
      </c>
      <c r="M276" s="6" t="s">
        <v>80</v>
      </c>
      <c r="N276" s="6" t="s">
        <v>25</v>
      </c>
      <c r="O276" s="5">
        <v>7</v>
      </c>
      <c r="P276" t="e">
        <v>#DIV/0!</v>
      </c>
      <c r="Q276" t="b">
        <v>0</v>
      </c>
      <c r="R276" s="5" t="str">
        <v>Even</v>
      </c>
      <c r="S276">
        <f t="shared" si="15"/>
        <v>6</v>
      </c>
      <c r="T276" t="str">
        <v/>
      </c>
      <c r="U276" t="str">
        <v>Bad</v>
      </c>
      <c r="V276" t="b">
        <v>0</v>
      </c>
      <c r="W276" t="str" cm="1">
        <f t="array" ref="W276">IF(AND(D276:D624&gt;40, K276:K624&lt;300, H276:H624&lt;8000), "Not Eligible", "Eligible")</f>
        <v>Eligible</v>
      </c>
      <c r="X276" t="str">
        <f t="shared" si="16"/>
        <v>Bad</v>
      </c>
      <c r="Y276" t="str">
        <f t="shared" si="17"/>
        <v/>
      </c>
      <c r="Z276" t="b">
        <v>1</v>
      </c>
    </row>
    <row r="277" spans="1:26" x14ac:dyDescent="0.3">
      <c r="A277" s="5">
        <f t="shared" si="14"/>
        <v>276</v>
      </c>
      <c r="B277" s="7" t="s">
        <v>129</v>
      </c>
      <c r="C277" s="7" t="s">
        <v>41</v>
      </c>
      <c r="D277" s="6">
        <v>27</v>
      </c>
      <c r="E277" s="6" t="s">
        <v>14</v>
      </c>
      <c r="F277" s="6" t="s">
        <v>22</v>
      </c>
      <c r="G277" s="6">
        <v>6000</v>
      </c>
      <c r="H277" s="6">
        <v>55000</v>
      </c>
      <c r="I277" s="6" t="s">
        <v>23</v>
      </c>
      <c r="J277" s="6">
        <v>10000</v>
      </c>
      <c r="K277" s="6">
        <v>690</v>
      </c>
      <c r="L277" s="6" t="s">
        <v>31</v>
      </c>
      <c r="M277" s="6" t="s">
        <v>80</v>
      </c>
      <c r="N277" s="6" t="s">
        <v>18</v>
      </c>
      <c r="O277" s="5">
        <v>4</v>
      </c>
      <c r="P277">
        <v>5.5</v>
      </c>
      <c r="Q277" t="b">
        <v>1</v>
      </c>
      <c r="R277" s="5" t="str">
        <v>Odd</v>
      </c>
      <c r="S277">
        <f t="shared" si="15"/>
        <v>42</v>
      </c>
      <c r="T277" t="str">
        <v>Good</v>
      </c>
      <c r="U277" t="str">
        <v/>
      </c>
      <c r="V277" t="b">
        <v>0</v>
      </c>
      <c r="W277" t="str" cm="1">
        <f t="array" ref="W277">IF(AND(D277:D625&gt;40, K277:K625&lt;300, H277:H625&lt;8000), "Not Eligible", "Eligible")</f>
        <v>Eligible</v>
      </c>
      <c r="X277" t="str">
        <f t="shared" si="16"/>
        <v>Good</v>
      </c>
      <c r="Y277" t="str">
        <f t="shared" si="17"/>
        <v>In Progress</v>
      </c>
      <c r="Z277" t="b">
        <v>0</v>
      </c>
    </row>
    <row r="278" spans="1:26" x14ac:dyDescent="0.3">
      <c r="A278" s="5">
        <f t="shared" si="14"/>
        <v>277</v>
      </c>
      <c r="B278" s="7" t="s">
        <v>130</v>
      </c>
      <c r="C278" s="7" t="s">
        <v>131</v>
      </c>
      <c r="D278" s="6">
        <v>31</v>
      </c>
      <c r="E278" s="6" t="s">
        <v>21</v>
      </c>
      <c r="F278" s="6" t="s">
        <v>15</v>
      </c>
      <c r="G278" s="6">
        <v>3500</v>
      </c>
      <c r="H278" s="6">
        <v>62000</v>
      </c>
      <c r="I278" s="6" t="s">
        <v>16</v>
      </c>
      <c r="J278" s="6">
        <v>0</v>
      </c>
      <c r="K278" s="6">
        <v>680</v>
      </c>
      <c r="L278" s="6" t="s">
        <v>17</v>
      </c>
      <c r="M278" s="6" t="s">
        <v>82</v>
      </c>
      <c r="N278" s="6" t="s">
        <v>25</v>
      </c>
      <c r="O278" s="5">
        <v>14</v>
      </c>
      <c r="P278" t="e">
        <v>#DIV/0!</v>
      </c>
      <c r="Q278" t="b">
        <v>0</v>
      </c>
      <c r="R278" s="5" t="str">
        <v>Odd</v>
      </c>
      <c r="S278">
        <f t="shared" si="15"/>
        <v>53</v>
      </c>
      <c r="T278" t="str">
        <v/>
      </c>
      <c r="U278" t="str">
        <v>Bad</v>
      </c>
      <c r="V278" t="b">
        <v>0</v>
      </c>
      <c r="W278" t="str" cm="1">
        <f t="array" ref="W278">IF(AND(D278:D626&gt;40, K278:K626&lt;300, H278:H626&lt;8000), "Not Eligible", "Eligible")</f>
        <v>Eligible</v>
      </c>
      <c r="X278" t="str">
        <f t="shared" si="16"/>
        <v>Bad</v>
      </c>
      <c r="Y278" t="str">
        <f t="shared" si="17"/>
        <v/>
      </c>
      <c r="Z278" t="b">
        <v>1</v>
      </c>
    </row>
    <row r="279" spans="1:26" x14ac:dyDescent="0.3">
      <c r="A279" s="5">
        <f t="shared" si="14"/>
        <v>278</v>
      </c>
      <c r="B279" s="7" t="s">
        <v>132</v>
      </c>
      <c r="C279" s="7" t="s">
        <v>43</v>
      </c>
      <c r="D279" s="6">
        <v>53</v>
      </c>
      <c r="E279" s="6" t="s">
        <v>14</v>
      </c>
      <c r="F279" s="6" t="s">
        <v>22</v>
      </c>
      <c r="G279" s="6">
        <v>4000</v>
      </c>
      <c r="H279" s="6">
        <v>48000</v>
      </c>
      <c r="I279" s="6" t="s">
        <v>23</v>
      </c>
      <c r="J279" s="6">
        <v>5000</v>
      </c>
      <c r="K279" s="6">
        <v>710</v>
      </c>
      <c r="L279" s="6" t="s">
        <v>24</v>
      </c>
      <c r="M279" s="6" t="s">
        <v>82</v>
      </c>
      <c r="N279" s="6" t="s">
        <v>18</v>
      </c>
      <c r="O279" s="5">
        <v>5</v>
      </c>
      <c r="P279">
        <v>9.6</v>
      </c>
      <c r="Q279" t="b">
        <v>1</v>
      </c>
      <c r="R279" s="5" t="str">
        <v>Odd</v>
      </c>
      <c r="S279">
        <f t="shared" si="15"/>
        <v>21</v>
      </c>
      <c r="T279" t="str">
        <v>Good</v>
      </c>
      <c r="U279" t="str">
        <v/>
      </c>
      <c r="V279" t="b">
        <v>0</v>
      </c>
      <c r="W279" t="str" cm="1">
        <f t="array" ref="W279">IF(AND(D279:D627&gt;40, K279:K627&lt;300, H279:H627&lt;8000), "Not Eligible", "Eligible")</f>
        <v>Eligible</v>
      </c>
      <c r="X279" t="str">
        <f t="shared" si="16"/>
        <v>Good</v>
      </c>
      <c r="Y279" t="str">
        <f t="shared" si="17"/>
        <v>In Progress</v>
      </c>
      <c r="Z279" t="b">
        <v>0</v>
      </c>
    </row>
    <row r="280" spans="1:26" x14ac:dyDescent="0.3">
      <c r="A280" s="5">
        <f t="shared" si="14"/>
        <v>279</v>
      </c>
      <c r="B280" s="7" t="s">
        <v>133</v>
      </c>
      <c r="C280" s="7" t="s">
        <v>134</v>
      </c>
      <c r="D280" s="6">
        <v>28</v>
      </c>
      <c r="E280" s="6" t="s">
        <v>21</v>
      </c>
      <c r="F280" s="6" t="s">
        <v>15</v>
      </c>
      <c r="G280" s="6">
        <v>5500</v>
      </c>
      <c r="H280" s="6">
        <v>59000</v>
      </c>
      <c r="I280" s="6" t="s">
        <v>16</v>
      </c>
      <c r="J280" s="6">
        <v>0</v>
      </c>
      <c r="K280" s="6">
        <v>700</v>
      </c>
      <c r="L280" s="6" t="s">
        <v>28</v>
      </c>
      <c r="M280" s="6" t="s">
        <v>82</v>
      </c>
      <c r="N280" s="6" t="s">
        <v>25</v>
      </c>
      <c r="O280" s="5">
        <v>10</v>
      </c>
      <c r="P280" t="e">
        <v>#DIV/0!</v>
      </c>
      <c r="Q280" t="b">
        <v>0</v>
      </c>
      <c r="R280" s="5" t="str">
        <v>Even</v>
      </c>
      <c r="S280">
        <f t="shared" si="15"/>
        <v>31</v>
      </c>
      <c r="T280" t="str">
        <v/>
      </c>
      <c r="U280" t="str">
        <v>Bad</v>
      </c>
      <c r="V280" t="b">
        <v>0</v>
      </c>
      <c r="W280" t="str" cm="1">
        <f t="array" ref="W280">IF(AND(D280:D628&gt;40, K280:K628&lt;300, H280:H628&lt;8000), "Not Eligible", "Eligible")</f>
        <v>Eligible</v>
      </c>
      <c r="X280" t="str">
        <f t="shared" si="16"/>
        <v>Bad</v>
      </c>
      <c r="Y280" t="str">
        <f t="shared" si="17"/>
        <v/>
      </c>
      <c r="Z280" t="b">
        <v>1</v>
      </c>
    </row>
    <row r="281" spans="1:26" x14ac:dyDescent="0.3">
      <c r="A281" s="5">
        <f t="shared" ref="A281:A303" si="18">ROW()-1</f>
        <v>280</v>
      </c>
      <c r="B281" s="7" t="s">
        <v>135</v>
      </c>
      <c r="C281" s="7" t="s">
        <v>136</v>
      </c>
      <c r="D281" s="6">
        <v>46</v>
      </c>
      <c r="E281" s="6" t="s">
        <v>14</v>
      </c>
      <c r="F281" s="6" t="s">
        <v>22</v>
      </c>
      <c r="G281" s="6">
        <v>9000</v>
      </c>
      <c r="H281" s="6">
        <v>73000</v>
      </c>
      <c r="I281" s="6" t="s">
        <v>23</v>
      </c>
      <c r="J281" s="6">
        <v>13000</v>
      </c>
      <c r="K281" s="6">
        <v>720</v>
      </c>
      <c r="L281" s="6" t="s">
        <v>31</v>
      </c>
      <c r="M281" s="6" t="s">
        <v>82</v>
      </c>
      <c r="N281" s="6" t="s">
        <v>18</v>
      </c>
      <c r="O281" s="5">
        <v>10</v>
      </c>
      <c r="P281">
        <v>5.615384615384615</v>
      </c>
      <c r="Q281" t="b">
        <v>1</v>
      </c>
      <c r="R281" s="5" t="str">
        <v>Even</v>
      </c>
      <c r="S281">
        <f t="shared" si="15"/>
        <v>6</v>
      </c>
      <c r="T281" t="str">
        <v>Good</v>
      </c>
      <c r="U281" t="str">
        <v/>
      </c>
      <c r="V281" t="b">
        <v>0</v>
      </c>
      <c r="W281" t="str" cm="1">
        <f t="array" ref="W281">IF(AND(D281:D629&gt;40, K281:K629&lt;300, H281:H629&lt;8000), "Not Eligible", "Eligible")</f>
        <v>Eligible</v>
      </c>
      <c r="X281" t="str">
        <f t="shared" si="16"/>
        <v>Good</v>
      </c>
      <c r="Y281" t="str">
        <f t="shared" si="17"/>
        <v>In Progress</v>
      </c>
      <c r="Z281" t="b">
        <v>0</v>
      </c>
    </row>
    <row r="282" spans="1:26" x14ac:dyDescent="0.3">
      <c r="A282" s="5">
        <f t="shared" si="18"/>
        <v>281</v>
      </c>
      <c r="B282" s="7" t="s">
        <v>43</v>
      </c>
      <c r="C282" s="7" t="s">
        <v>137</v>
      </c>
      <c r="D282" s="6">
        <v>39</v>
      </c>
      <c r="E282" s="6" t="s">
        <v>21</v>
      </c>
      <c r="F282" s="6" t="s">
        <v>15</v>
      </c>
      <c r="G282" s="6">
        <v>4000</v>
      </c>
      <c r="H282" s="6">
        <v>65000</v>
      </c>
      <c r="I282" s="6" t="s">
        <v>16</v>
      </c>
      <c r="J282" s="6">
        <v>0</v>
      </c>
      <c r="K282" s="6">
        <v>680</v>
      </c>
      <c r="L282" s="6" t="s">
        <v>17</v>
      </c>
      <c r="M282" s="6" t="s">
        <v>82</v>
      </c>
      <c r="N282" s="6" t="s">
        <v>25</v>
      </c>
      <c r="O282" s="5">
        <v>7</v>
      </c>
      <c r="P282" t="e">
        <v>#DIV/0!</v>
      </c>
      <c r="Q282" t="b">
        <v>0</v>
      </c>
      <c r="R282" s="5" t="str">
        <v>Odd</v>
      </c>
      <c r="S282">
        <f t="shared" si="15"/>
        <v>50</v>
      </c>
      <c r="T282" t="str">
        <v/>
      </c>
      <c r="U282" t="str">
        <v>Bad</v>
      </c>
      <c r="V282" t="b">
        <v>0</v>
      </c>
      <c r="W282" t="str" cm="1">
        <f t="array" ref="W282">IF(AND(D282:D630&gt;40, K282:K630&lt;300, H282:H630&lt;8000), "Not Eligible", "Eligible")</f>
        <v>Eligible</v>
      </c>
      <c r="X282" t="str">
        <f t="shared" si="16"/>
        <v>Bad</v>
      </c>
      <c r="Y282" t="str">
        <f t="shared" si="17"/>
        <v/>
      </c>
      <c r="Z282" t="b">
        <v>1</v>
      </c>
    </row>
    <row r="283" spans="1:26" x14ac:dyDescent="0.3">
      <c r="A283" s="5">
        <f t="shared" si="18"/>
        <v>282</v>
      </c>
      <c r="B283" s="7" t="s">
        <v>32</v>
      </c>
      <c r="C283" s="7" t="s">
        <v>138</v>
      </c>
      <c r="D283" s="6">
        <v>27</v>
      </c>
      <c r="E283" s="6" t="s">
        <v>14</v>
      </c>
      <c r="F283" s="6" t="s">
        <v>22</v>
      </c>
      <c r="G283" s="6">
        <v>8000</v>
      </c>
      <c r="H283" s="6">
        <v>60000</v>
      </c>
      <c r="I283" s="6" t="s">
        <v>23</v>
      </c>
      <c r="J283" s="6">
        <v>8000</v>
      </c>
      <c r="K283" s="6">
        <v>710</v>
      </c>
      <c r="L283" s="6" t="s">
        <v>24</v>
      </c>
      <c r="M283" s="6" t="s">
        <v>82</v>
      </c>
      <c r="N283" s="6" t="s">
        <v>18</v>
      </c>
      <c r="O283" s="5">
        <v>5</v>
      </c>
      <c r="P283">
        <v>7.5</v>
      </c>
      <c r="Q283" t="b">
        <v>1</v>
      </c>
      <c r="R283" s="5" t="str">
        <v>Odd</v>
      </c>
      <c r="S283">
        <f t="shared" si="15"/>
        <v>20</v>
      </c>
      <c r="T283" t="str">
        <v>Good</v>
      </c>
      <c r="U283" t="str">
        <v/>
      </c>
      <c r="V283" t="b">
        <v>0</v>
      </c>
      <c r="W283" t="str" cm="1">
        <f t="array" ref="W283">IF(AND(D283:D631&gt;40, K283:K631&lt;300, H283:H631&lt;8000), "Not Eligible", "Eligible")</f>
        <v>Eligible</v>
      </c>
      <c r="X283" t="str">
        <f t="shared" si="16"/>
        <v>Good</v>
      </c>
      <c r="Y283" t="str">
        <f t="shared" si="17"/>
        <v>In Progress</v>
      </c>
      <c r="Z283" t="b">
        <v>0</v>
      </c>
    </row>
    <row r="284" spans="1:26" x14ac:dyDescent="0.3">
      <c r="A284" s="5">
        <f t="shared" si="18"/>
        <v>283</v>
      </c>
      <c r="B284" s="7" t="s">
        <v>139</v>
      </c>
      <c r="C284" s="7" t="s">
        <v>78</v>
      </c>
      <c r="D284" s="6">
        <v>34</v>
      </c>
      <c r="E284" s="6" t="s">
        <v>21</v>
      </c>
      <c r="F284" s="6" t="s">
        <v>15</v>
      </c>
      <c r="G284" s="6">
        <v>2500</v>
      </c>
      <c r="H284" s="6">
        <v>53000</v>
      </c>
      <c r="I284" s="6" t="s">
        <v>16</v>
      </c>
      <c r="J284" s="6">
        <v>0</v>
      </c>
      <c r="K284" s="6">
        <v>690</v>
      </c>
      <c r="L284" s="6" t="s">
        <v>28</v>
      </c>
      <c r="M284" s="6" t="s">
        <v>81</v>
      </c>
      <c r="N284" s="6" t="s">
        <v>25</v>
      </c>
      <c r="O284" s="5">
        <v>15</v>
      </c>
      <c r="P284" t="e">
        <v>#DIV/0!</v>
      </c>
      <c r="Q284" t="b">
        <v>0</v>
      </c>
      <c r="R284" s="5" t="str">
        <v>Even</v>
      </c>
      <c r="S284">
        <f t="shared" si="15"/>
        <v>38</v>
      </c>
      <c r="T284" t="str">
        <v/>
      </c>
      <c r="U284" t="str">
        <v>Bad</v>
      </c>
      <c r="V284" t="b">
        <v>0</v>
      </c>
      <c r="W284" t="str" cm="1">
        <f t="array" ref="W284">IF(AND(D284:D632&gt;40, K284:K632&lt;300, H284:H632&lt;8000), "Not Eligible", "Eligible")</f>
        <v>Eligible</v>
      </c>
      <c r="X284" t="str">
        <f t="shared" si="16"/>
        <v>Bad</v>
      </c>
      <c r="Y284" t="str">
        <f t="shared" si="17"/>
        <v/>
      </c>
      <c r="Z284" t="b">
        <v>1</v>
      </c>
    </row>
    <row r="285" spans="1:26" x14ac:dyDescent="0.3">
      <c r="A285" s="5">
        <f t="shared" si="18"/>
        <v>284</v>
      </c>
      <c r="B285" s="7" t="s">
        <v>140</v>
      </c>
      <c r="C285" s="7" t="s">
        <v>45</v>
      </c>
      <c r="D285" s="6">
        <v>32</v>
      </c>
      <c r="E285" s="6" t="s">
        <v>14</v>
      </c>
      <c r="F285" s="6" t="s">
        <v>22</v>
      </c>
      <c r="G285" s="6">
        <v>12000</v>
      </c>
      <c r="H285" s="6">
        <v>68000</v>
      </c>
      <c r="I285" s="6" t="s">
        <v>23</v>
      </c>
      <c r="J285" s="6">
        <v>15000</v>
      </c>
      <c r="K285" s="6">
        <v>720</v>
      </c>
      <c r="L285" s="6" t="s">
        <v>31</v>
      </c>
      <c r="M285" s="6" t="s">
        <v>81</v>
      </c>
      <c r="N285" s="6" t="s">
        <v>18</v>
      </c>
      <c r="O285" s="5">
        <v>4</v>
      </c>
      <c r="P285">
        <v>4.5333333333333332</v>
      </c>
      <c r="Q285" t="b">
        <v>1</v>
      </c>
      <c r="R285" s="5" t="str">
        <v>Even</v>
      </c>
      <c r="S285">
        <f t="shared" si="15"/>
        <v>6</v>
      </c>
      <c r="T285" t="str">
        <v>Good</v>
      </c>
      <c r="U285" t="str">
        <v/>
      </c>
      <c r="V285" t="b">
        <v>0</v>
      </c>
      <c r="W285" t="str" cm="1">
        <f t="array" ref="W285">IF(AND(D285:D633&gt;40, K285:K633&lt;300, H285:H633&lt;8000), "Not Eligible", "Eligible")</f>
        <v>Eligible</v>
      </c>
      <c r="X285" t="str">
        <f t="shared" si="16"/>
        <v>Good</v>
      </c>
      <c r="Y285" t="str">
        <f t="shared" si="17"/>
        <v>In Progress</v>
      </c>
      <c r="Z285" t="b">
        <v>0</v>
      </c>
    </row>
    <row r="286" spans="1:26" x14ac:dyDescent="0.3">
      <c r="A286" s="5">
        <f t="shared" si="18"/>
        <v>285</v>
      </c>
      <c r="B286" s="7" t="s">
        <v>141</v>
      </c>
      <c r="C286" s="7" t="s">
        <v>37</v>
      </c>
      <c r="D286" s="6">
        <v>49</v>
      </c>
      <c r="E286" s="6" t="s">
        <v>21</v>
      </c>
      <c r="F286" s="6" t="s">
        <v>15</v>
      </c>
      <c r="G286" s="6">
        <v>7000</v>
      </c>
      <c r="H286" s="6">
        <v>71000</v>
      </c>
      <c r="I286" s="6" t="s">
        <v>16</v>
      </c>
      <c r="J286" s="6">
        <v>0</v>
      </c>
      <c r="K286" s="6">
        <v>680</v>
      </c>
      <c r="L286" s="6" t="s">
        <v>17</v>
      </c>
      <c r="M286" s="6" t="s">
        <v>81</v>
      </c>
      <c r="N286" s="6" t="s">
        <v>25</v>
      </c>
      <c r="O286" s="5">
        <v>15</v>
      </c>
      <c r="P286" t="e">
        <v>#DIV/0!</v>
      </c>
      <c r="Q286" t="b">
        <v>0</v>
      </c>
      <c r="R286" s="5" t="str">
        <v>Odd</v>
      </c>
      <c r="S286">
        <f t="shared" si="15"/>
        <v>47</v>
      </c>
      <c r="T286" t="str">
        <v/>
      </c>
      <c r="U286" t="str">
        <v>Bad</v>
      </c>
      <c r="V286" t="b">
        <v>0</v>
      </c>
      <c r="W286" t="str" cm="1">
        <f t="array" ref="W286">IF(AND(D286:D634&gt;40, K286:K634&lt;300, H286:H634&lt;8000), "Not Eligible", "Eligible")</f>
        <v>Eligible</v>
      </c>
      <c r="X286" t="str">
        <f t="shared" si="16"/>
        <v>Bad</v>
      </c>
      <c r="Y286" t="str">
        <f t="shared" si="17"/>
        <v/>
      </c>
      <c r="Z286" t="b">
        <v>1</v>
      </c>
    </row>
    <row r="287" spans="1:26" x14ac:dyDescent="0.3">
      <c r="A287" s="5">
        <f t="shared" si="18"/>
        <v>286</v>
      </c>
      <c r="B287" s="7" t="s">
        <v>142</v>
      </c>
      <c r="C287" s="7" t="s">
        <v>47</v>
      </c>
      <c r="D287" s="6">
        <v>24</v>
      </c>
      <c r="E287" s="6" t="s">
        <v>14</v>
      </c>
      <c r="F287" s="6" t="s">
        <v>22</v>
      </c>
      <c r="G287" s="6">
        <v>5000</v>
      </c>
      <c r="H287" s="6">
        <v>56000</v>
      </c>
      <c r="I287" s="6" t="s">
        <v>23</v>
      </c>
      <c r="J287" s="6">
        <v>10000</v>
      </c>
      <c r="K287" s="6">
        <v>700</v>
      </c>
      <c r="L287" s="6" t="s">
        <v>24</v>
      </c>
      <c r="M287" s="6" t="s">
        <v>81</v>
      </c>
      <c r="N287" s="6" t="s">
        <v>18</v>
      </c>
      <c r="O287" s="5">
        <v>3</v>
      </c>
      <c r="P287">
        <v>5.6</v>
      </c>
      <c r="Q287" t="b">
        <v>1</v>
      </c>
      <c r="R287" s="5" t="str">
        <v>Even</v>
      </c>
      <c r="S287">
        <f t="shared" si="15"/>
        <v>28</v>
      </c>
      <c r="T287" t="str">
        <v>Good</v>
      </c>
      <c r="U287" t="str">
        <v/>
      </c>
      <c r="V287" t="b">
        <v>0</v>
      </c>
      <c r="W287" t="str" cm="1">
        <f t="array" ref="W287">IF(AND(D287:D635&gt;40, K287:K635&lt;300, H287:H635&lt;8000), "Not Eligible", "Eligible")</f>
        <v>Eligible</v>
      </c>
      <c r="X287" t="str">
        <f t="shared" si="16"/>
        <v>Good</v>
      </c>
      <c r="Y287" t="str">
        <f t="shared" si="17"/>
        <v>In Progress</v>
      </c>
      <c r="Z287" t="b">
        <v>0</v>
      </c>
    </row>
    <row r="288" spans="1:26" x14ac:dyDescent="0.3">
      <c r="A288" s="5">
        <f t="shared" si="18"/>
        <v>287</v>
      </c>
      <c r="B288" s="7" t="s">
        <v>54</v>
      </c>
      <c r="C288" s="7" t="s">
        <v>49</v>
      </c>
      <c r="D288" s="6">
        <v>29</v>
      </c>
      <c r="E288" s="6" t="s">
        <v>21</v>
      </c>
      <c r="F288" s="6" t="s">
        <v>15</v>
      </c>
      <c r="G288" s="6">
        <v>1500</v>
      </c>
      <c r="H288" s="6">
        <v>45000</v>
      </c>
      <c r="I288" s="6" t="s">
        <v>16</v>
      </c>
      <c r="J288" s="6">
        <v>0</v>
      </c>
      <c r="K288" s="6">
        <v>670</v>
      </c>
      <c r="L288" s="6" t="s">
        <v>28</v>
      </c>
      <c r="M288" s="6" t="s">
        <v>81</v>
      </c>
      <c r="N288" s="6" t="s">
        <v>25</v>
      </c>
      <c r="O288" s="5">
        <v>14</v>
      </c>
      <c r="P288" t="e">
        <v>#DIV/0!</v>
      </c>
      <c r="Q288" t="b">
        <v>0</v>
      </c>
      <c r="R288" s="5" t="str">
        <v>Odd</v>
      </c>
      <c r="S288">
        <f t="shared" si="15"/>
        <v>58</v>
      </c>
      <c r="T288" t="str">
        <v/>
      </c>
      <c r="U288" t="str">
        <v>Bad</v>
      </c>
      <c r="V288" t="b">
        <v>0</v>
      </c>
      <c r="W288" t="str" cm="1">
        <f t="array" ref="W288">IF(AND(D288:D636&gt;40, K288:K636&lt;300, H288:H636&lt;8000), "Not Eligible", "Eligible")</f>
        <v>Eligible</v>
      </c>
      <c r="X288" t="str">
        <f t="shared" si="16"/>
        <v>Bad</v>
      </c>
      <c r="Y288" t="str">
        <f t="shared" si="17"/>
        <v/>
      </c>
      <c r="Z288" t="b">
        <v>1</v>
      </c>
    </row>
    <row r="289" spans="1:26" x14ac:dyDescent="0.3">
      <c r="A289" s="5">
        <f t="shared" si="18"/>
        <v>288</v>
      </c>
      <c r="B289" s="7" t="s">
        <v>143</v>
      </c>
      <c r="C289" s="7" t="s">
        <v>51</v>
      </c>
      <c r="D289" s="6">
        <v>43</v>
      </c>
      <c r="E289" s="6" t="s">
        <v>14</v>
      </c>
      <c r="F289" s="6" t="s">
        <v>22</v>
      </c>
      <c r="G289" s="6">
        <v>11000</v>
      </c>
      <c r="H289" s="6">
        <v>74000</v>
      </c>
      <c r="I289" s="6" t="s">
        <v>23</v>
      </c>
      <c r="J289" s="6">
        <v>12000</v>
      </c>
      <c r="K289" s="6">
        <v>720</v>
      </c>
      <c r="L289" s="6" t="s">
        <v>31</v>
      </c>
      <c r="M289" s="6" t="s">
        <v>81</v>
      </c>
      <c r="N289" s="6" t="s">
        <v>18</v>
      </c>
      <c r="O289" s="5">
        <v>8</v>
      </c>
      <c r="P289">
        <v>6.166666666666667</v>
      </c>
      <c r="Q289" t="b">
        <v>1</v>
      </c>
      <c r="R289" s="5" t="str">
        <v>Odd</v>
      </c>
      <c r="S289">
        <f t="shared" si="15"/>
        <v>6</v>
      </c>
      <c r="T289" t="str">
        <v>Good</v>
      </c>
      <c r="U289" t="str">
        <v/>
      </c>
      <c r="V289" t="b">
        <v>0</v>
      </c>
      <c r="W289" t="str" cm="1">
        <f t="array" ref="W289">IF(AND(D289:D637&gt;40, K289:K637&lt;300, H289:H637&lt;8000), "Not Eligible", "Eligible")</f>
        <v>Eligible</v>
      </c>
      <c r="X289" t="str">
        <f t="shared" si="16"/>
        <v>Good</v>
      </c>
      <c r="Y289" t="str">
        <f t="shared" si="17"/>
        <v>In Progress</v>
      </c>
      <c r="Z289" t="b">
        <v>0</v>
      </c>
    </row>
    <row r="290" spans="1:26" x14ac:dyDescent="0.3">
      <c r="A290" s="5">
        <f t="shared" si="18"/>
        <v>289</v>
      </c>
      <c r="B290" s="7" t="s">
        <v>144</v>
      </c>
      <c r="C290" s="7" t="s">
        <v>145</v>
      </c>
      <c r="D290" s="6">
        <v>36</v>
      </c>
      <c r="E290" s="6" t="s">
        <v>21</v>
      </c>
      <c r="F290" s="6" t="s">
        <v>15</v>
      </c>
      <c r="G290" s="6">
        <v>8000</v>
      </c>
      <c r="H290" s="6">
        <v>63000</v>
      </c>
      <c r="I290" s="6" t="s">
        <v>16</v>
      </c>
      <c r="J290" s="6">
        <v>0</v>
      </c>
      <c r="K290" s="6">
        <v>710</v>
      </c>
      <c r="L290" s="6" t="s">
        <v>17</v>
      </c>
      <c r="M290" s="6" t="s">
        <v>80</v>
      </c>
      <c r="N290" s="6" t="s">
        <v>25</v>
      </c>
      <c r="O290" s="5">
        <v>15</v>
      </c>
      <c r="P290" t="e">
        <v>#DIV/0!</v>
      </c>
      <c r="Q290" t="b">
        <v>0</v>
      </c>
      <c r="R290" s="5" t="str">
        <v>Even</v>
      </c>
      <c r="S290">
        <f t="shared" si="15"/>
        <v>18</v>
      </c>
      <c r="T290" t="str">
        <v/>
      </c>
      <c r="U290" t="str">
        <v>Bad</v>
      </c>
      <c r="V290" t="b">
        <v>0</v>
      </c>
      <c r="W290" t="str" cm="1">
        <f t="array" ref="W290">IF(AND(D290:D638&gt;40, K290:K638&lt;300, H290:H638&lt;8000), "Not Eligible", "Eligible")</f>
        <v>Eligible</v>
      </c>
      <c r="X290" t="str">
        <f t="shared" si="16"/>
        <v>Bad</v>
      </c>
      <c r="Y290" t="str">
        <f t="shared" si="17"/>
        <v/>
      </c>
      <c r="Z290" t="b">
        <v>1</v>
      </c>
    </row>
    <row r="291" spans="1:26" x14ac:dyDescent="0.3">
      <c r="A291" s="5">
        <f t="shared" si="18"/>
        <v>290</v>
      </c>
      <c r="B291" s="7" t="s">
        <v>146</v>
      </c>
      <c r="C291" s="7" t="s">
        <v>53</v>
      </c>
      <c r="D291" s="6">
        <v>28</v>
      </c>
      <c r="E291" s="6" t="s">
        <v>14</v>
      </c>
      <c r="F291" s="6" t="s">
        <v>22</v>
      </c>
      <c r="G291" s="6">
        <v>2000</v>
      </c>
      <c r="H291" s="6">
        <v>47000</v>
      </c>
      <c r="I291" s="6" t="s">
        <v>23</v>
      </c>
      <c r="J291" s="6">
        <v>5000</v>
      </c>
      <c r="K291" s="6">
        <v>680</v>
      </c>
      <c r="L291" s="6" t="s">
        <v>24</v>
      </c>
      <c r="M291" s="6" t="s">
        <v>80</v>
      </c>
      <c r="N291" s="6" t="s">
        <v>18</v>
      </c>
      <c r="O291" s="5">
        <v>9</v>
      </c>
      <c r="P291">
        <v>9.4</v>
      </c>
      <c r="Q291" t="b">
        <v>1</v>
      </c>
      <c r="R291" s="5" t="str">
        <v>Even</v>
      </c>
      <c r="S291">
        <f t="shared" si="15"/>
        <v>44</v>
      </c>
      <c r="T291" t="str">
        <v>Good</v>
      </c>
      <c r="U291" t="str">
        <v/>
      </c>
      <c r="V291" t="b">
        <v>0</v>
      </c>
      <c r="W291" t="str" cm="1">
        <f t="array" ref="W291">IF(AND(D291:D639&gt;40, K291:K639&lt;300, H291:H639&lt;8000), "Not Eligible", "Eligible")</f>
        <v>Eligible</v>
      </c>
      <c r="X291" t="str">
        <f t="shared" si="16"/>
        <v>Bad</v>
      </c>
      <c r="Y291" t="str">
        <f t="shared" si="17"/>
        <v>In Progress</v>
      </c>
      <c r="Z291" t="b">
        <v>0</v>
      </c>
    </row>
    <row r="292" spans="1:26" x14ac:dyDescent="0.3">
      <c r="A292" s="5">
        <f t="shared" si="18"/>
        <v>291</v>
      </c>
      <c r="B292" s="7" t="s">
        <v>147</v>
      </c>
      <c r="C292" s="7" t="s">
        <v>148</v>
      </c>
      <c r="D292" s="6">
        <v>31</v>
      </c>
      <c r="E292" s="6" t="s">
        <v>21</v>
      </c>
      <c r="F292" s="6" t="s">
        <v>15</v>
      </c>
      <c r="G292" s="6">
        <v>4000</v>
      </c>
      <c r="H292" s="6">
        <v>55000</v>
      </c>
      <c r="I292" s="6" t="s">
        <v>16</v>
      </c>
      <c r="J292" s="6">
        <v>0</v>
      </c>
      <c r="K292" s="6">
        <v>690</v>
      </c>
      <c r="L292" s="6" t="s">
        <v>28</v>
      </c>
      <c r="M292" s="6" t="s">
        <v>81</v>
      </c>
      <c r="N292" s="6" t="s">
        <v>25</v>
      </c>
      <c r="O292" s="5">
        <v>4</v>
      </c>
      <c r="P292" t="e">
        <v>#DIV/0!</v>
      </c>
      <c r="Q292" t="b">
        <v>0</v>
      </c>
      <c r="R292" s="5" t="str">
        <v>Odd</v>
      </c>
      <c r="S292">
        <f t="shared" si="15"/>
        <v>34</v>
      </c>
      <c r="T292" t="str">
        <v/>
      </c>
      <c r="U292" t="str">
        <v>Bad</v>
      </c>
      <c r="V292" t="b">
        <v>0</v>
      </c>
      <c r="W292" t="str" cm="1">
        <f t="array" ref="W292">IF(AND(D292:D640&gt;40, K292:K640&lt;300, H292:H640&lt;8000), "Not Eligible", "Eligible")</f>
        <v>Eligible</v>
      </c>
      <c r="X292" t="str">
        <f t="shared" si="16"/>
        <v>Bad</v>
      </c>
      <c r="Y292" t="str">
        <f t="shared" si="17"/>
        <v/>
      </c>
      <c r="Z292" t="b">
        <v>1</v>
      </c>
    </row>
    <row r="293" spans="1:26" x14ac:dyDescent="0.3">
      <c r="A293" s="5">
        <f t="shared" si="18"/>
        <v>292</v>
      </c>
      <c r="B293" s="7" t="s">
        <v>149</v>
      </c>
      <c r="C293" s="7" t="s">
        <v>55</v>
      </c>
      <c r="D293" s="6">
        <v>44</v>
      </c>
      <c r="E293" s="6" t="s">
        <v>14</v>
      </c>
      <c r="F293" s="6" t="s">
        <v>22</v>
      </c>
      <c r="G293" s="6">
        <v>6000</v>
      </c>
      <c r="H293" s="6">
        <v>62000</v>
      </c>
      <c r="I293" s="6" t="s">
        <v>23</v>
      </c>
      <c r="J293" s="6">
        <v>10000</v>
      </c>
      <c r="K293" s="6">
        <v>700</v>
      </c>
      <c r="L293" s="6" t="s">
        <v>31</v>
      </c>
      <c r="M293" s="6" t="s">
        <v>81</v>
      </c>
      <c r="N293" s="6" t="s">
        <v>18</v>
      </c>
      <c r="O293" s="5">
        <v>13</v>
      </c>
      <c r="P293">
        <v>6.2</v>
      </c>
      <c r="Q293" t="b">
        <v>1</v>
      </c>
      <c r="R293" s="5" t="str">
        <v>Even</v>
      </c>
      <c r="S293">
        <f t="shared" si="15"/>
        <v>26</v>
      </c>
      <c r="T293" t="str">
        <v>Good</v>
      </c>
      <c r="U293" t="str">
        <v/>
      </c>
      <c r="V293" t="b">
        <v>0</v>
      </c>
      <c r="W293" t="str" cm="1">
        <f t="array" ref="W293">IF(AND(D293:D641&gt;40, K293:K641&lt;300, H293:H641&lt;8000), "Not Eligible", "Eligible")</f>
        <v>Eligible</v>
      </c>
      <c r="X293" t="str">
        <f t="shared" si="16"/>
        <v>Good</v>
      </c>
      <c r="Y293" t="str">
        <f t="shared" si="17"/>
        <v>In Progress</v>
      </c>
      <c r="Z293" t="b">
        <v>0</v>
      </c>
    </row>
    <row r="294" spans="1:26" x14ac:dyDescent="0.3">
      <c r="A294" s="5">
        <f t="shared" si="18"/>
        <v>293</v>
      </c>
      <c r="B294" s="7" t="s">
        <v>150</v>
      </c>
      <c r="C294" s="7" t="s">
        <v>59</v>
      </c>
      <c r="D294" s="6">
        <v>39</v>
      </c>
      <c r="E294" s="6" t="s">
        <v>21</v>
      </c>
      <c r="F294" s="6" t="s">
        <v>15</v>
      </c>
      <c r="G294" s="6">
        <v>9000</v>
      </c>
      <c r="H294" s="6">
        <v>67000</v>
      </c>
      <c r="I294" s="6" t="s">
        <v>16</v>
      </c>
      <c r="J294" s="6">
        <v>0</v>
      </c>
      <c r="K294" s="6">
        <v>720</v>
      </c>
      <c r="L294" s="6" t="s">
        <v>17</v>
      </c>
      <c r="M294" s="6" t="s">
        <v>81</v>
      </c>
      <c r="N294" s="6" t="s">
        <v>25</v>
      </c>
      <c r="O294" s="5">
        <v>5</v>
      </c>
      <c r="P294" t="e">
        <v>#DIV/0!</v>
      </c>
      <c r="Q294" t="b">
        <v>0</v>
      </c>
      <c r="R294" s="5" t="str">
        <v>Odd</v>
      </c>
      <c r="S294">
        <f t="shared" si="15"/>
        <v>6</v>
      </c>
      <c r="T294" t="str">
        <v/>
      </c>
      <c r="U294" t="str">
        <v>Bad</v>
      </c>
      <c r="V294" t="b">
        <v>0</v>
      </c>
      <c r="W294" t="str" cm="1">
        <f t="array" ref="W294">IF(AND(D294:D642&gt;40, K294:K642&lt;300, H294:H642&lt;8000), "Not Eligible", "Eligible")</f>
        <v>Eligible</v>
      </c>
      <c r="X294" t="str">
        <f t="shared" si="16"/>
        <v>Bad</v>
      </c>
      <c r="Y294" t="str">
        <f t="shared" si="17"/>
        <v/>
      </c>
      <c r="Z294" t="b">
        <v>1</v>
      </c>
    </row>
    <row r="295" spans="1:26" x14ac:dyDescent="0.3">
      <c r="A295" s="5">
        <f t="shared" si="18"/>
        <v>294</v>
      </c>
      <c r="B295" s="7" t="s">
        <v>151</v>
      </c>
      <c r="C295" s="7" t="s">
        <v>57</v>
      </c>
      <c r="D295" s="6">
        <v>27</v>
      </c>
      <c r="E295" s="6" t="s">
        <v>14</v>
      </c>
      <c r="F295" s="6" t="s">
        <v>22</v>
      </c>
      <c r="G295" s="6">
        <v>2500</v>
      </c>
      <c r="H295" s="6">
        <v>49000</v>
      </c>
      <c r="I295" s="6" t="s">
        <v>23</v>
      </c>
      <c r="J295" s="6">
        <v>7000</v>
      </c>
      <c r="K295" s="6">
        <v>680</v>
      </c>
      <c r="L295" s="6" t="s">
        <v>24</v>
      </c>
      <c r="M295" s="6" t="s">
        <v>82</v>
      </c>
      <c r="N295" s="6" t="s">
        <v>18</v>
      </c>
      <c r="O295" s="5">
        <v>11</v>
      </c>
      <c r="P295">
        <v>7</v>
      </c>
      <c r="Q295" t="b">
        <v>1</v>
      </c>
      <c r="R295" s="5" t="str">
        <v>Odd</v>
      </c>
      <c r="S295">
        <f t="shared" si="15"/>
        <v>41</v>
      </c>
      <c r="T295" t="str">
        <v>Good</v>
      </c>
      <c r="U295" t="str">
        <v/>
      </c>
      <c r="V295" t="b">
        <v>0</v>
      </c>
      <c r="W295" t="str" cm="1">
        <f t="array" ref="W295">IF(AND(D295:D643&gt;40, K295:K643&lt;300, H295:H643&lt;8000), "Not Eligible", "Eligible")</f>
        <v>Eligible</v>
      </c>
      <c r="X295" t="str">
        <f t="shared" si="16"/>
        <v>Good</v>
      </c>
      <c r="Y295" t="str">
        <f t="shared" si="17"/>
        <v>In Progress</v>
      </c>
      <c r="Z295" t="b">
        <v>0</v>
      </c>
    </row>
    <row r="296" spans="1:26" x14ac:dyDescent="0.3">
      <c r="A296" s="5">
        <f t="shared" si="18"/>
        <v>295</v>
      </c>
      <c r="B296" s="7" t="s">
        <v>152</v>
      </c>
      <c r="C296" s="7" t="s">
        <v>61</v>
      </c>
      <c r="D296" s="6">
        <v>40</v>
      </c>
      <c r="E296" s="6" t="s">
        <v>21</v>
      </c>
      <c r="F296" s="6" t="s">
        <v>15</v>
      </c>
      <c r="G296" s="6">
        <v>7000</v>
      </c>
      <c r="H296" s="6">
        <v>71000</v>
      </c>
      <c r="I296" s="6" t="s">
        <v>16</v>
      </c>
      <c r="J296" s="6">
        <v>0</v>
      </c>
      <c r="K296" s="6">
        <v>710</v>
      </c>
      <c r="L296" s="6" t="s">
        <v>28</v>
      </c>
      <c r="M296" s="6" t="s">
        <v>82</v>
      </c>
      <c r="N296" s="6" t="s">
        <v>25</v>
      </c>
      <c r="O296" s="5">
        <v>4</v>
      </c>
      <c r="P296" t="e">
        <v>#DIV/0!</v>
      </c>
      <c r="Q296" t="b">
        <v>0</v>
      </c>
      <c r="R296" s="5" t="str">
        <v>Even</v>
      </c>
      <c r="S296">
        <f t="shared" si="15"/>
        <v>17</v>
      </c>
      <c r="T296" t="str">
        <v/>
      </c>
      <c r="U296" t="str">
        <v>Bad</v>
      </c>
      <c r="V296" t="b">
        <v>0</v>
      </c>
      <c r="W296" t="str" cm="1">
        <f t="array" ref="W296">IF(AND(D296:D644&gt;40, K296:K644&lt;300, H296:H644&lt;8000), "Not Eligible", "Eligible")</f>
        <v>Eligible</v>
      </c>
      <c r="X296" t="str">
        <f t="shared" si="16"/>
        <v>Bad</v>
      </c>
      <c r="Y296" t="str">
        <f t="shared" si="17"/>
        <v/>
      </c>
      <c r="Z296" t="b">
        <v>1</v>
      </c>
    </row>
    <row r="297" spans="1:26" x14ac:dyDescent="0.3">
      <c r="A297" s="5">
        <f t="shared" si="18"/>
        <v>296</v>
      </c>
      <c r="B297" s="7" t="s">
        <v>153</v>
      </c>
      <c r="C297" s="7" t="s">
        <v>154</v>
      </c>
      <c r="D297" s="6">
        <v>34</v>
      </c>
      <c r="E297" s="6" t="s">
        <v>14</v>
      </c>
      <c r="F297" s="6" t="s">
        <v>22</v>
      </c>
      <c r="G297" s="6">
        <v>15000</v>
      </c>
      <c r="H297" s="6">
        <v>73000</v>
      </c>
      <c r="I297" s="6" t="s">
        <v>23</v>
      </c>
      <c r="J297" s="6">
        <v>13000</v>
      </c>
      <c r="K297" s="6">
        <v>720</v>
      </c>
      <c r="L297" s="6" t="s">
        <v>31</v>
      </c>
      <c r="M297" s="6" t="s">
        <v>82</v>
      </c>
      <c r="N297" s="6" t="s">
        <v>18</v>
      </c>
      <c r="O297" s="5">
        <v>14</v>
      </c>
      <c r="P297">
        <v>5.615384615384615</v>
      </c>
      <c r="Q297" t="b">
        <v>1</v>
      </c>
      <c r="R297" s="5" t="str">
        <v>Even</v>
      </c>
      <c r="S297">
        <f t="shared" si="15"/>
        <v>6</v>
      </c>
      <c r="T297" t="str">
        <v>Good</v>
      </c>
      <c r="U297" t="str">
        <v/>
      </c>
      <c r="V297" t="b">
        <v>0</v>
      </c>
      <c r="W297" t="str" cm="1">
        <f t="array" ref="W297">IF(AND(D297:D645&gt;40, K297:K645&lt;300, H297:H645&lt;8000), "Not Eligible", "Eligible")</f>
        <v>Eligible</v>
      </c>
      <c r="X297" t="str">
        <f t="shared" si="16"/>
        <v>Good</v>
      </c>
      <c r="Y297" t="str">
        <f t="shared" si="17"/>
        <v>In Progress</v>
      </c>
      <c r="Z297" t="b">
        <v>0</v>
      </c>
    </row>
    <row r="298" spans="1:26" x14ac:dyDescent="0.3">
      <c r="A298" s="5">
        <f t="shared" si="18"/>
        <v>297</v>
      </c>
      <c r="B298" s="7" t="s">
        <v>155</v>
      </c>
      <c r="C298" s="7" t="s">
        <v>63</v>
      </c>
      <c r="D298" s="6">
        <v>29</v>
      </c>
      <c r="E298" s="6" t="s">
        <v>21</v>
      </c>
      <c r="F298" s="6" t="s">
        <v>15</v>
      </c>
      <c r="G298" s="6">
        <v>2500</v>
      </c>
      <c r="H298" s="6">
        <v>47000</v>
      </c>
      <c r="I298" s="6" t="s">
        <v>16</v>
      </c>
      <c r="J298" s="6">
        <v>0</v>
      </c>
      <c r="K298" s="6">
        <v>680</v>
      </c>
      <c r="L298" s="6" t="s">
        <v>17</v>
      </c>
      <c r="M298" s="6" t="s">
        <v>80</v>
      </c>
      <c r="N298" s="6" t="s">
        <v>25</v>
      </c>
      <c r="O298" s="5">
        <v>7</v>
      </c>
      <c r="P298" t="e">
        <v>#DIV/0!</v>
      </c>
      <c r="Q298" t="b">
        <v>0</v>
      </c>
      <c r="R298" s="5" t="str">
        <v>Odd</v>
      </c>
      <c r="S298">
        <f t="shared" si="15"/>
        <v>39</v>
      </c>
      <c r="T298" t="str">
        <v/>
      </c>
      <c r="U298" t="str">
        <v>Bad</v>
      </c>
      <c r="V298" t="b">
        <v>0</v>
      </c>
      <c r="W298" t="str" cm="1">
        <f t="array" ref="W298">IF(AND(D298:D646&gt;40, K298:K646&lt;300, H298:H646&lt;8000), "Not Eligible", "Eligible")</f>
        <v>Eligible</v>
      </c>
      <c r="X298" t="str">
        <f t="shared" si="16"/>
        <v>Bad</v>
      </c>
      <c r="Y298" t="str">
        <f t="shared" si="17"/>
        <v/>
      </c>
      <c r="Z298" t="b">
        <v>1</v>
      </c>
    </row>
    <row r="299" spans="1:26" x14ac:dyDescent="0.3">
      <c r="A299" s="5">
        <f t="shared" si="18"/>
        <v>298</v>
      </c>
      <c r="B299" s="7" t="s">
        <v>156</v>
      </c>
      <c r="C299" s="7" t="s">
        <v>65</v>
      </c>
      <c r="D299" s="6">
        <v>31</v>
      </c>
      <c r="E299" s="6" t="s">
        <v>14</v>
      </c>
      <c r="F299" s="6" t="s">
        <v>22</v>
      </c>
      <c r="G299" s="6">
        <v>5000</v>
      </c>
      <c r="H299" s="6">
        <v>53000</v>
      </c>
      <c r="I299" s="6" t="s">
        <v>23</v>
      </c>
      <c r="J299" s="6">
        <v>8000</v>
      </c>
      <c r="K299" s="6">
        <v>690</v>
      </c>
      <c r="L299" s="6" t="s">
        <v>24</v>
      </c>
      <c r="M299" s="6" t="s">
        <v>80</v>
      </c>
      <c r="N299" s="6" t="s">
        <v>18</v>
      </c>
      <c r="O299" s="5">
        <v>6</v>
      </c>
      <c r="P299">
        <v>6.625</v>
      </c>
      <c r="Q299" t="b">
        <v>1</v>
      </c>
      <c r="R299" s="5" t="str">
        <v>Odd</v>
      </c>
      <c r="S299">
        <f t="shared" si="15"/>
        <v>30</v>
      </c>
      <c r="T299" t="str">
        <v>Good</v>
      </c>
      <c r="U299" t="str">
        <v/>
      </c>
      <c r="V299" t="b">
        <v>0</v>
      </c>
      <c r="W299" t="str" cm="1">
        <f t="array" ref="W299">IF(AND(D299:D647&gt;40, K299:K647&lt;300, H299:H647&lt;8000), "Not Eligible", "Eligible")</f>
        <v>Eligible</v>
      </c>
      <c r="X299" t="str">
        <f t="shared" si="16"/>
        <v>Good</v>
      </c>
      <c r="Y299" t="str">
        <f t="shared" si="17"/>
        <v>In Progress</v>
      </c>
      <c r="Z299" t="b">
        <v>0</v>
      </c>
    </row>
    <row r="300" spans="1:26" x14ac:dyDescent="0.3">
      <c r="A300" s="5">
        <f t="shared" si="18"/>
        <v>299</v>
      </c>
      <c r="B300" s="7" t="s">
        <v>157</v>
      </c>
      <c r="C300" s="7" t="s">
        <v>69</v>
      </c>
      <c r="D300" s="6">
        <v>42</v>
      </c>
      <c r="E300" s="6" t="s">
        <v>21</v>
      </c>
      <c r="F300" s="6" t="s">
        <v>15</v>
      </c>
      <c r="G300" s="6">
        <v>6000</v>
      </c>
      <c r="H300" s="6">
        <v>69000</v>
      </c>
      <c r="I300" s="6" t="s">
        <v>16</v>
      </c>
      <c r="J300" s="6">
        <v>0</v>
      </c>
      <c r="K300" s="6">
        <v>720</v>
      </c>
      <c r="L300" s="6" t="s">
        <v>28</v>
      </c>
      <c r="M300" s="6" t="s">
        <v>80</v>
      </c>
      <c r="N300" s="6" t="s">
        <v>25</v>
      </c>
      <c r="O300" s="5">
        <v>4</v>
      </c>
      <c r="P300" t="e">
        <v>#DIV/0!</v>
      </c>
      <c r="Q300" t="b">
        <v>0</v>
      </c>
      <c r="R300" s="5" t="str">
        <v>Even</v>
      </c>
      <c r="S300">
        <f t="shared" si="15"/>
        <v>6</v>
      </c>
      <c r="T300" t="str">
        <v/>
      </c>
      <c r="U300" t="str">
        <v>Bad</v>
      </c>
      <c r="V300" t="b">
        <v>0</v>
      </c>
      <c r="W300" t="str" cm="1">
        <f t="array" ref="W300">IF(AND(D300:D648&gt;40, K300:K648&lt;300, H300:H648&lt;8000), "Not Eligible", "Eligible")</f>
        <v>Eligible</v>
      </c>
      <c r="X300" t="str">
        <f t="shared" si="16"/>
        <v>Bad</v>
      </c>
      <c r="Y300" t="str">
        <f t="shared" si="17"/>
        <v/>
      </c>
      <c r="Z300" t="b">
        <v>1</v>
      </c>
    </row>
    <row r="301" spans="1:26" x14ac:dyDescent="0.3">
      <c r="A301" s="5">
        <f t="shared" si="18"/>
        <v>300</v>
      </c>
      <c r="B301" s="7" t="s">
        <v>158</v>
      </c>
      <c r="C301" s="7" t="s">
        <v>67</v>
      </c>
      <c r="D301" s="6">
        <v>36</v>
      </c>
      <c r="E301" s="6" t="s">
        <v>14</v>
      </c>
      <c r="F301" s="6" t="s">
        <v>22</v>
      </c>
      <c r="G301" s="6">
        <v>2000</v>
      </c>
      <c r="H301" s="6">
        <v>45000</v>
      </c>
      <c r="I301" s="6" t="s">
        <v>23</v>
      </c>
      <c r="J301" s="6">
        <v>5000</v>
      </c>
      <c r="K301" s="6">
        <v>700</v>
      </c>
      <c r="L301" s="6" t="s">
        <v>31</v>
      </c>
      <c r="M301" s="6" t="s">
        <v>80</v>
      </c>
      <c r="N301" s="6" t="s">
        <v>18</v>
      </c>
      <c r="O301" s="5">
        <v>7</v>
      </c>
      <c r="P301">
        <v>9</v>
      </c>
      <c r="Q301" t="b">
        <v>1</v>
      </c>
      <c r="R301" s="5" t="str">
        <v>Even</v>
      </c>
      <c r="S301">
        <f t="shared" si="15"/>
        <v>22</v>
      </c>
      <c r="T301" t="str">
        <v>Good</v>
      </c>
      <c r="U301" t="str">
        <v/>
      </c>
      <c r="V301" t="b">
        <v>0</v>
      </c>
      <c r="W301" t="str" cm="1">
        <f t="array" ref="W301">IF(AND(D301:D649&gt;40, K301:K649&lt;300, H301:H649&lt;8000), "Not Eligible", "Eligible")</f>
        <v>Eligible</v>
      </c>
      <c r="X301" t="str">
        <f t="shared" si="16"/>
        <v>Bad</v>
      </c>
      <c r="Y301" t="str">
        <f t="shared" si="17"/>
        <v>In Progress</v>
      </c>
      <c r="Z301" t="b">
        <v>0</v>
      </c>
    </row>
    <row r="302" spans="1:26" x14ac:dyDescent="0.3">
      <c r="A302" s="5">
        <f t="shared" si="18"/>
        <v>301</v>
      </c>
      <c r="B302" s="7" t="s">
        <v>159</v>
      </c>
      <c r="C302" s="7" t="s">
        <v>160</v>
      </c>
      <c r="D302" s="6">
        <v>48</v>
      </c>
      <c r="E302" s="6" t="s">
        <v>21</v>
      </c>
      <c r="F302" s="6" t="s">
        <v>15</v>
      </c>
      <c r="G302" s="6">
        <v>8000</v>
      </c>
      <c r="H302" s="6">
        <v>74000</v>
      </c>
      <c r="I302" s="6" t="s">
        <v>16</v>
      </c>
      <c r="J302" s="6">
        <v>0</v>
      </c>
      <c r="K302" s="6">
        <v>680</v>
      </c>
      <c r="L302" s="6" t="s">
        <v>17</v>
      </c>
      <c r="M302" s="6" t="s">
        <v>81</v>
      </c>
      <c r="N302" s="6" t="s">
        <v>25</v>
      </c>
      <c r="O302" s="5">
        <v>13</v>
      </c>
      <c r="P302" t="e">
        <v>#DIV/0!</v>
      </c>
      <c r="Q302" t="b">
        <v>0</v>
      </c>
      <c r="R302" s="5" t="str">
        <v>Even</v>
      </c>
      <c r="S302">
        <f t="shared" si="15"/>
        <v>36</v>
      </c>
      <c r="T302" t="str">
        <v/>
      </c>
      <c r="U302" t="str">
        <v>Bad</v>
      </c>
      <c r="V302" t="b">
        <v>0</v>
      </c>
      <c r="W302" t="str" cm="1">
        <f t="array" ref="W302">IF(AND(D302:D650&gt;40, K302:K650&lt;300, H302:H650&lt;8000), "Not Eligible", "Eligible")</f>
        <v>Eligible</v>
      </c>
      <c r="X302" t="str">
        <f t="shared" si="16"/>
        <v>Bad</v>
      </c>
      <c r="Y302" t="str">
        <f t="shared" si="17"/>
        <v/>
      </c>
      <c r="Z302" t="b">
        <v>1</v>
      </c>
    </row>
    <row r="303" spans="1:26" x14ac:dyDescent="0.3">
      <c r="A303" s="5">
        <f t="shared" si="18"/>
        <v>302</v>
      </c>
      <c r="B303" s="7" t="s">
        <v>161</v>
      </c>
      <c r="C303" s="7" t="s">
        <v>71</v>
      </c>
      <c r="D303" s="6">
        <v>33</v>
      </c>
      <c r="E303" s="6" t="s">
        <v>14</v>
      </c>
      <c r="F303" s="6" t="s">
        <v>22</v>
      </c>
      <c r="G303" s="6">
        <v>4000</v>
      </c>
      <c r="H303" s="6">
        <v>60000</v>
      </c>
      <c r="I303" s="6" t="s">
        <v>23</v>
      </c>
      <c r="J303" s="6">
        <v>8000</v>
      </c>
      <c r="K303" s="6">
        <v>720</v>
      </c>
      <c r="L303" s="6" t="s">
        <v>24</v>
      </c>
      <c r="M303" s="6" t="s">
        <v>81</v>
      </c>
      <c r="N303" s="6" t="s">
        <v>18</v>
      </c>
      <c r="O303" s="5">
        <v>4</v>
      </c>
      <c r="P303">
        <v>7.5</v>
      </c>
      <c r="Q303" t="b">
        <v>1</v>
      </c>
      <c r="R303" s="5" t="str">
        <v>Odd</v>
      </c>
      <c r="S303">
        <f t="shared" si="15"/>
        <v>6</v>
      </c>
      <c r="T303" t="str">
        <v>Good</v>
      </c>
      <c r="U303" t="str">
        <v/>
      </c>
      <c r="V303" t="b">
        <v>0</v>
      </c>
      <c r="W303" t="str" cm="1">
        <f t="array" ref="W303">IF(AND(D303:D651&gt;40, K303:K651&lt;300, H303:H651&lt;8000), "Not Eligible", "Eligible")</f>
        <v>Eligible</v>
      </c>
      <c r="X303" t="str">
        <f t="shared" si="16"/>
        <v>Good</v>
      </c>
      <c r="Y303" t="str">
        <f t="shared" si="17"/>
        <v>In Progress</v>
      </c>
      <c r="Z303" t="b">
        <v>0</v>
      </c>
    </row>
    <row r="304" spans="1:26" x14ac:dyDescent="0.3">
      <c r="A304" s="5">
        <v>303</v>
      </c>
      <c r="B304" s="7" t="s">
        <v>179</v>
      </c>
      <c r="C304" s="7" t="s">
        <v>213</v>
      </c>
      <c r="D304" s="6">
        <v>36</v>
      </c>
      <c r="E304" s="6" t="s">
        <v>14</v>
      </c>
      <c r="F304" s="6" t="s">
        <v>15</v>
      </c>
      <c r="G304" s="6">
        <v>2500</v>
      </c>
      <c r="H304" s="6">
        <v>55000</v>
      </c>
      <c r="I304" s="6" t="s">
        <v>16</v>
      </c>
      <c r="J304" s="6">
        <v>12000</v>
      </c>
      <c r="K304" s="6">
        <v>720</v>
      </c>
      <c r="L304" s="6" t="s">
        <v>17</v>
      </c>
      <c r="M304" s="6" t="s">
        <v>80</v>
      </c>
      <c r="N304" s="6" t="s">
        <v>25</v>
      </c>
      <c r="O304" s="5">
        <v>15</v>
      </c>
      <c r="P304">
        <v>4.583333333333333</v>
      </c>
      <c r="Q304" t="b">
        <v>1</v>
      </c>
      <c r="R304" s="5" t="str">
        <v>Even</v>
      </c>
      <c r="S304">
        <f t="shared" si="15"/>
        <v>6</v>
      </c>
      <c r="T304" t="str">
        <v/>
      </c>
      <c r="U304" t="str">
        <v>Bad</v>
      </c>
      <c r="V304" t="b">
        <v>0</v>
      </c>
      <c r="W304" t="str" cm="1">
        <f t="array" ref="W304">IF(AND(D304:D652&gt;40, K304:K652&lt;300, H304:H652&lt;8000), "Not Eligible", "Eligible")</f>
        <v>Eligible</v>
      </c>
      <c r="X304" t="str">
        <f t="shared" si="16"/>
        <v>Good</v>
      </c>
      <c r="Y304" t="str">
        <f t="shared" si="17"/>
        <v/>
      </c>
      <c r="Z304" t="b">
        <v>0</v>
      </c>
    </row>
    <row r="305" spans="1:26" x14ac:dyDescent="0.3">
      <c r="A305" s="5">
        <f>ROW()-1</f>
        <v>304</v>
      </c>
      <c r="B305" s="7" t="s">
        <v>185</v>
      </c>
      <c r="C305" s="7" t="s">
        <v>168</v>
      </c>
      <c r="D305" s="6">
        <v>29</v>
      </c>
      <c r="E305" s="6" t="s">
        <v>21</v>
      </c>
      <c r="F305" s="6" t="s">
        <v>22</v>
      </c>
      <c r="G305" s="6">
        <v>8000</v>
      </c>
      <c r="H305" s="6">
        <v>62000</v>
      </c>
      <c r="I305" s="6" t="s">
        <v>23</v>
      </c>
      <c r="J305" s="6">
        <v>0</v>
      </c>
      <c r="K305" s="6">
        <v>680</v>
      </c>
      <c r="L305" s="6" t="s">
        <v>24</v>
      </c>
      <c r="M305" s="6" t="s">
        <v>81</v>
      </c>
      <c r="N305" s="6" t="s">
        <v>18</v>
      </c>
      <c r="O305" s="5">
        <v>4</v>
      </c>
      <c r="P305" t="e">
        <v>#DIV/0!</v>
      </c>
      <c r="Q305" t="b">
        <v>0</v>
      </c>
      <c r="R305" s="5" t="str">
        <v>Odd</v>
      </c>
      <c r="S305">
        <f t="shared" si="15"/>
        <v>34</v>
      </c>
      <c r="T305" t="str">
        <v>Good</v>
      </c>
      <c r="U305" t="str">
        <v/>
      </c>
      <c r="V305" t="b">
        <v>0</v>
      </c>
      <c r="W305" t="str" cm="1">
        <f t="array" ref="W305">IF(AND(D305:D653&gt;40, K305:K653&lt;300, H305:H653&lt;8000), "Not Eligible", "Eligible")</f>
        <v>Eligible</v>
      </c>
      <c r="X305" t="str">
        <f t="shared" si="16"/>
        <v>Bad</v>
      </c>
      <c r="Y305" t="str">
        <f t="shared" si="17"/>
        <v>In Progress</v>
      </c>
      <c r="Z305" t="b">
        <v>1</v>
      </c>
    </row>
    <row r="306" spans="1:26" x14ac:dyDescent="0.3">
      <c r="A306" s="5">
        <f t="shared" ref="A306:A350" si="19">ROW()-1</f>
        <v>305</v>
      </c>
      <c r="B306" s="7" t="s">
        <v>77</v>
      </c>
      <c r="C306" s="7" t="s">
        <v>184</v>
      </c>
      <c r="D306" s="6">
        <v>38</v>
      </c>
      <c r="E306" s="6" t="s">
        <v>21</v>
      </c>
      <c r="F306" s="6" t="s">
        <v>15</v>
      </c>
      <c r="G306" s="6">
        <v>12000</v>
      </c>
      <c r="H306" s="6">
        <v>75000</v>
      </c>
      <c r="I306" s="6" t="s">
        <v>16</v>
      </c>
      <c r="J306" s="6">
        <v>10000</v>
      </c>
      <c r="K306" s="6">
        <v>750</v>
      </c>
      <c r="L306" s="6" t="s">
        <v>28</v>
      </c>
      <c r="M306" s="6" t="s">
        <v>82</v>
      </c>
      <c r="N306" s="6" t="s">
        <v>25</v>
      </c>
      <c r="O306" s="5">
        <v>15</v>
      </c>
      <c r="P306">
        <v>7.5</v>
      </c>
      <c r="Q306" t="b">
        <v>1</v>
      </c>
      <c r="R306" s="5" t="str">
        <v>Even</v>
      </c>
      <c r="S306">
        <f t="shared" si="15"/>
        <v>1</v>
      </c>
      <c r="T306" t="str">
        <v/>
      </c>
      <c r="U306" t="str">
        <v>Bad</v>
      </c>
      <c r="V306" t="b">
        <v>0</v>
      </c>
      <c r="W306" t="str" cm="1">
        <f t="array" ref="W306">IF(AND(D306:D654&gt;40, K306:K654&lt;300, H306:H654&lt;8000), "Not Eligible", "Eligible")</f>
        <v>Eligible</v>
      </c>
      <c r="X306" t="str">
        <f t="shared" si="16"/>
        <v>Bad</v>
      </c>
      <c r="Y306" t="str">
        <f t="shared" si="17"/>
        <v/>
      </c>
      <c r="Z306" t="b">
        <v>0</v>
      </c>
    </row>
    <row r="307" spans="1:26" x14ac:dyDescent="0.3">
      <c r="A307" s="5">
        <f t="shared" si="19"/>
        <v>306</v>
      </c>
      <c r="B307" s="7" t="s">
        <v>300</v>
      </c>
      <c r="C307" s="7" t="s">
        <v>63</v>
      </c>
      <c r="D307" s="6">
        <v>34</v>
      </c>
      <c r="E307" s="6" t="s">
        <v>14</v>
      </c>
      <c r="F307" s="6" t="s">
        <v>22</v>
      </c>
      <c r="G307" s="6">
        <v>3000</v>
      </c>
      <c r="H307" s="6">
        <v>48000</v>
      </c>
      <c r="I307" s="6" t="s">
        <v>23</v>
      </c>
      <c r="J307" s="6">
        <v>0</v>
      </c>
      <c r="K307" s="6">
        <v>690</v>
      </c>
      <c r="L307" s="6" t="s">
        <v>31</v>
      </c>
      <c r="M307" s="6" t="s">
        <v>80</v>
      </c>
      <c r="N307" s="6" t="s">
        <v>18</v>
      </c>
      <c r="O307" s="5">
        <v>14</v>
      </c>
      <c r="P307" t="e">
        <v>#DIV/0!</v>
      </c>
      <c r="Q307" t="b">
        <v>0</v>
      </c>
      <c r="R307" s="5" t="str">
        <v>Even</v>
      </c>
      <c r="S307">
        <f t="shared" si="15"/>
        <v>25</v>
      </c>
      <c r="T307" t="str">
        <v>Good</v>
      </c>
      <c r="U307" t="str">
        <v/>
      </c>
      <c r="V307" t="b">
        <v>0</v>
      </c>
      <c r="W307" t="str" cm="1">
        <f t="array" ref="W307">IF(AND(D307:D655&gt;40, K307:K655&lt;300, H307:H655&lt;8000), "Not Eligible", "Eligible")</f>
        <v>Eligible</v>
      </c>
      <c r="X307" t="str">
        <f t="shared" si="16"/>
        <v>Good</v>
      </c>
      <c r="Y307" t="str">
        <f t="shared" si="17"/>
        <v>In Progress</v>
      </c>
      <c r="Z307" t="b">
        <v>1</v>
      </c>
    </row>
    <row r="308" spans="1:26" x14ac:dyDescent="0.3">
      <c r="A308" s="5">
        <f t="shared" si="19"/>
        <v>307</v>
      </c>
      <c r="B308" s="7" t="s">
        <v>282</v>
      </c>
      <c r="C308" s="7" t="s">
        <v>45</v>
      </c>
      <c r="D308" s="6">
        <v>29</v>
      </c>
      <c r="E308" s="6" t="s">
        <v>21</v>
      </c>
      <c r="F308" s="6" t="s">
        <v>15</v>
      </c>
      <c r="G308" s="6">
        <v>5000</v>
      </c>
      <c r="H308" s="6">
        <v>58000</v>
      </c>
      <c r="I308" s="6" t="s">
        <v>16</v>
      </c>
      <c r="J308" s="6">
        <v>5000</v>
      </c>
      <c r="K308" s="6">
        <v>710</v>
      </c>
      <c r="L308" s="6" t="s">
        <v>17</v>
      </c>
      <c r="M308" s="6" t="s">
        <v>80</v>
      </c>
      <c r="N308" s="6" t="s">
        <v>25</v>
      </c>
      <c r="O308" s="5">
        <v>10</v>
      </c>
      <c r="P308">
        <v>11.6</v>
      </c>
      <c r="Q308" t="b">
        <v>1</v>
      </c>
      <c r="R308" s="5" t="str">
        <v>Odd</v>
      </c>
      <c r="S308">
        <f t="shared" si="15"/>
        <v>12</v>
      </c>
      <c r="T308" t="str">
        <v/>
      </c>
      <c r="U308" t="str">
        <v>Bad</v>
      </c>
      <c r="V308" t="b">
        <v>0</v>
      </c>
      <c r="W308" t="str" cm="1">
        <f t="array" ref="W308">IF(AND(D308:D656&gt;40, K308:K656&lt;300, H308:H656&lt;8000), "Not Eligible", "Eligible")</f>
        <v>Eligible</v>
      </c>
      <c r="X308" t="str">
        <f t="shared" si="16"/>
        <v>Bad</v>
      </c>
      <c r="Y308" t="str">
        <f t="shared" si="17"/>
        <v/>
      </c>
      <c r="Z308" t="b">
        <v>0</v>
      </c>
    </row>
    <row r="309" spans="1:26" x14ac:dyDescent="0.3">
      <c r="A309" s="5">
        <f t="shared" si="19"/>
        <v>308</v>
      </c>
      <c r="B309" s="7" t="s">
        <v>301</v>
      </c>
      <c r="C309" s="7" t="s">
        <v>38</v>
      </c>
      <c r="D309" s="6">
        <v>45</v>
      </c>
      <c r="E309" s="6" t="s">
        <v>14</v>
      </c>
      <c r="F309" s="6" t="s">
        <v>22</v>
      </c>
      <c r="G309" s="6">
        <v>6000</v>
      </c>
      <c r="H309" s="6">
        <v>70000</v>
      </c>
      <c r="I309" s="6" t="s">
        <v>23</v>
      </c>
      <c r="J309" s="6">
        <v>0</v>
      </c>
      <c r="K309" s="6">
        <v>700</v>
      </c>
      <c r="L309" s="6" t="s">
        <v>24</v>
      </c>
      <c r="M309" s="6" t="s">
        <v>80</v>
      </c>
      <c r="N309" s="6" t="s">
        <v>18</v>
      </c>
      <c r="O309" s="5">
        <v>14</v>
      </c>
      <c r="P309" t="e">
        <v>#DIV/0!</v>
      </c>
      <c r="Q309" t="b">
        <v>0</v>
      </c>
      <c r="R309" s="5" t="str">
        <v>Odd</v>
      </c>
      <c r="S309">
        <f t="shared" si="15"/>
        <v>18</v>
      </c>
      <c r="T309" t="str">
        <v>Good</v>
      </c>
      <c r="U309" t="str">
        <v/>
      </c>
      <c r="V309" t="b">
        <v>0</v>
      </c>
      <c r="W309" t="str" cm="1">
        <f t="array" ref="W309">IF(AND(D309:D657&gt;40, K309:K657&lt;300, H309:H657&lt;8000), "Not Eligible", "Eligible")</f>
        <v>Eligible</v>
      </c>
      <c r="X309" t="str">
        <f t="shared" si="16"/>
        <v>Good</v>
      </c>
      <c r="Y309" t="str">
        <f t="shared" si="17"/>
        <v>In Progress</v>
      </c>
      <c r="Z309" t="b">
        <v>1</v>
      </c>
    </row>
    <row r="310" spans="1:26" x14ac:dyDescent="0.3">
      <c r="A310" s="5">
        <f t="shared" si="19"/>
        <v>309</v>
      </c>
      <c r="B310" s="7" t="s">
        <v>302</v>
      </c>
      <c r="C310" s="7" t="s">
        <v>188</v>
      </c>
      <c r="D310" s="6">
        <v>52</v>
      </c>
      <c r="E310" s="6" t="s">
        <v>21</v>
      </c>
      <c r="F310" s="6" t="s">
        <v>15</v>
      </c>
      <c r="G310" s="6">
        <v>15000</v>
      </c>
      <c r="H310" s="6">
        <v>82000</v>
      </c>
      <c r="I310" s="6" t="s">
        <v>16</v>
      </c>
      <c r="J310" s="6">
        <v>8000</v>
      </c>
      <c r="K310" s="6">
        <v>730</v>
      </c>
      <c r="L310" s="6" t="s">
        <v>28</v>
      </c>
      <c r="M310" s="6" t="s">
        <v>80</v>
      </c>
      <c r="N310" s="6" t="s">
        <v>25</v>
      </c>
      <c r="O310" s="5">
        <v>15</v>
      </c>
      <c r="P310">
        <v>10.25</v>
      </c>
      <c r="Q310" t="b">
        <v>1</v>
      </c>
      <c r="R310" s="5" t="str">
        <v>Even</v>
      </c>
      <c r="S310">
        <f t="shared" si="15"/>
        <v>4</v>
      </c>
      <c r="T310" t="str">
        <v/>
      </c>
      <c r="U310" t="str">
        <v>Bad</v>
      </c>
      <c r="V310" t="b">
        <v>0</v>
      </c>
      <c r="W310" t="str" cm="1">
        <f t="array" ref="W310">IF(AND(D310:D658&gt;40, K310:K658&lt;300, H310:H658&lt;8000), "Not Eligible", "Eligible")</f>
        <v>Eligible</v>
      </c>
      <c r="X310" t="str">
        <f t="shared" si="16"/>
        <v>Bad</v>
      </c>
      <c r="Y310" t="str">
        <f t="shared" si="17"/>
        <v/>
      </c>
      <c r="Z310" t="b">
        <v>0</v>
      </c>
    </row>
    <row r="311" spans="1:26" x14ac:dyDescent="0.3">
      <c r="A311" s="5">
        <f t="shared" si="19"/>
        <v>310</v>
      </c>
      <c r="B311" s="7" t="s">
        <v>303</v>
      </c>
      <c r="C311" s="7" t="s">
        <v>254</v>
      </c>
      <c r="D311" s="6">
        <v>37</v>
      </c>
      <c r="E311" s="6" t="s">
        <v>14</v>
      </c>
      <c r="F311" s="6" t="s">
        <v>22</v>
      </c>
      <c r="G311" s="6">
        <v>2000</v>
      </c>
      <c r="H311" s="6">
        <v>43000</v>
      </c>
      <c r="I311" s="6" t="s">
        <v>16</v>
      </c>
      <c r="J311" s="6">
        <v>0</v>
      </c>
      <c r="K311" s="6">
        <v>670</v>
      </c>
      <c r="L311" s="6" t="s">
        <v>31</v>
      </c>
      <c r="M311" s="6" t="s">
        <v>81</v>
      </c>
      <c r="N311" s="6" t="s">
        <v>18</v>
      </c>
      <c r="O311" s="5">
        <v>13</v>
      </c>
      <c r="P311" t="e">
        <v>#DIV/0!</v>
      </c>
      <c r="Q311" t="b">
        <v>0</v>
      </c>
      <c r="R311" s="5" t="str">
        <v>Odd</v>
      </c>
      <c r="S311">
        <f t="shared" si="15"/>
        <v>36</v>
      </c>
      <c r="T311" t="str">
        <v>Good</v>
      </c>
      <c r="U311" t="str">
        <v/>
      </c>
      <c r="V311" t="b">
        <v>0</v>
      </c>
      <c r="W311" t="str" cm="1">
        <f t="array" ref="W311">IF(AND(D311:D659&gt;40, K311:K659&lt;300, H311:H659&lt;8000), "Not Eligible", "Eligible")</f>
        <v>Eligible</v>
      </c>
      <c r="X311" t="str">
        <f t="shared" si="16"/>
        <v>Bad</v>
      </c>
      <c r="Y311" t="str">
        <f t="shared" si="17"/>
        <v>In Progress</v>
      </c>
      <c r="Z311" t="b">
        <v>1</v>
      </c>
    </row>
    <row r="312" spans="1:26" x14ac:dyDescent="0.3">
      <c r="A312" s="5">
        <f t="shared" si="19"/>
        <v>311</v>
      </c>
      <c r="B312" s="7" t="s">
        <v>304</v>
      </c>
      <c r="C312" s="7" t="s">
        <v>71</v>
      </c>
      <c r="D312" s="6">
        <v>30</v>
      </c>
      <c r="E312" s="6" t="s">
        <v>21</v>
      </c>
      <c r="F312" s="6" t="s">
        <v>15</v>
      </c>
      <c r="G312" s="6">
        <v>7000</v>
      </c>
      <c r="H312" s="6">
        <v>55000</v>
      </c>
      <c r="I312" s="6" t="s">
        <v>23</v>
      </c>
      <c r="J312" s="6">
        <v>13000</v>
      </c>
      <c r="K312" s="6">
        <v>720</v>
      </c>
      <c r="L312" s="6" t="s">
        <v>17</v>
      </c>
      <c r="M312" s="6" t="s">
        <v>81</v>
      </c>
      <c r="N312" s="6" t="s">
        <v>25</v>
      </c>
      <c r="O312" s="5">
        <v>7</v>
      </c>
      <c r="P312">
        <v>4.2307692307692308</v>
      </c>
      <c r="Q312" t="b">
        <v>1</v>
      </c>
      <c r="R312" s="5" t="str">
        <v>Even</v>
      </c>
      <c r="S312">
        <f t="shared" si="15"/>
        <v>4</v>
      </c>
      <c r="T312" t="str">
        <v/>
      </c>
      <c r="U312" t="str">
        <v>Bad</v>
      </c>
      <c r="V312" t="b">
        <v>0</v>
      </c>
      <c r="W312" t="str" cm="1">
        <f t="array" ref="W312">IF(AND(D312:D660&gt;40, K312:K660&lt;300, H312:H660&lt;8000), "Not Eligible", "Eligible")</f>
        <v>Eligible</v>
      </c>
      <c r="X312" t="str">
        <f t="shared" si="16"/>
        <v>Bad</v>
      </c>
      <c r="Y312" t="str">
        <f t="shared" si="17"/>
        <v/>
      </c>
      <c r="Z312" t="b">
        <v>0</v>
      </c>
    </row>
    <row r="313" spans="1:26" x14ac:dyDescent="0.3">
      <c r="A313" s="5">
        <f t="shared" si="19"/>
        <v>312</v>
      </c>
      <c r="B313" s="7" t="s">
        <v>305</v>
      </c>
      <c r="C313" s="7" t="s">
        <v>39</v>
      </c>
      <c r="D313" s="6">
        <v>40</v>
      </c>
      <c r="E313" s="6" t="s">
        <v>14</v>
      </c>
      <c r="F313" s="6" t="s">
        <v>22</v>
      </c>
      <c r="G313" s="6">
        <v>11000</v>
      </c>
      <c r="H313" s="6">
        <v>65000</v>
      </c>
      <c r="I313" s="6" t="s">
        <v>16</v>
      </c>
      <c r="J313" s="6">
        <v>0</v>
      </c>
      <c r="K313" s="6">
        <v>740</v>
      </c>
      <c r="L313" s="6" t="s">
        <v>24</v>
      </c>
      <c r="M313" s="6" t="s">
        <v>82</v>
      </c>
      <c r="N313" s="6" t="s">
        <v>18</v>
      </c>
      <c r="O313" s="5">
        <v>5</v>
      </c>
      <c r="P313" t="e">
        <v>#DIV/0!</v>
      </c>
      <c r="Q313" t="b">
        <v>0</v>
      </c>
      <c r="R313" s="5" t="str">
        <v>Even</v>
      </c>
      <c r="S313">
        <f t="shared" si="15"/>
        <v>1</v>
      </c>
      <c r="T313" t="str">
        <v>Good</v>
      </c>
      <c r="U313" t="str">
        <v/>
      </c>
      <c r="V313" t="b">
        <v>0</v>
      </c>
      <c r="W313" t="str" cm="1">
        <f t="array" ref="W313">IF(AND(D313:D661&gt;40, K313:K661&lt;300, H313:H661&lt;8000), "Not Eligible", "Eligible")</f>
        <v>Eligible</v>
      </c>
      <c r="X313" t="str">
        <f t="shared" si="16"/>
        <v>Good</v>
      </c>
      <c r="Y313" t="str">
        <f t="shared" si="17"/>
        <v>In Progress</v>
      </c>
      <c r="Z313" t="b">
        <v>1</v>
      </c>
    </row>
    <row r="314" spans="1:26" x14ac:dyDescent="0.3">
      <c r="A314" s="5">
        <f t="shared" si="19"/>
        <v>313</v>
      </c>
      <c r="B314" s="7" t="s">
        <v>217</v>
      </c>
      <c r="C314" s="7" t="s">
        <v>230</v>
      </c>
      <c r="D314" s="6">
        <v>25</v>
      </c>
      <c r="E314" s="6" t="s">
        <v>21</v>
      </c>
      <c r="F314" s="6" t="s">
        <v>15</v>
      </c>
      <c r="G314" s="6">
        <v>4500</v>
      </c>
      <c r="H314" s="6">
        <v>47000</v>
      </c>
      <c r="I314" s="6" t="s">
        <v>16</v>
      </c>
      <c r="J314" s="6">
        <v>7000</v>
      </c>
      <c r="K314" s="6">
        <v>690</v>
      </c>
      <c r="L314" s="6" t="s">
        <v>28</v>
      </c>
      <c r="M314" s="6" t="s">
        <v>80</v>
      </c>
      <c r="N314" s="6" t="s">
        <v>25</v>
      </c>
      <c r="O314" s="5">
        <v>3</v>
      </c>
      <c r="P314">
        <v>6.7142857142857144</v>
      </c>
      <c r="Q314" t="b">
        <v>1</v>
      </c>
      <c r="R314" s="5" t="str">
        <v>Odd</v>
      </c>
      <c r="S314">
        <f t="shared" si="15"/>
        <v>20</v>
      </c>
      <c r="T314" t="str">
        <v/>
      </c>
      <c r="U314" t="str">
        <v>Bad</v>
      </c>
      <c r="V314" t="b">
        <v>0</v>
      </c>
      <c r="W314" t="str" cm="1">
        <f t="array" ref="W314">IF(AND(D314:D662&gt;40, K314:K662&lt;300, H314:H662&lt;8000), "Not Eligible", "Eligible")</f>
        <v>Eligible</v>
      </c>
      <c r="X314" t="str">
        <f t="shared" si="16"/>
        <v>Bad</v>
      </c>
      <c r="Y314" t="str">
        <f t="shared" si="17"/>
        <v/>
      </c>
      <c r="Z314" t="b">
        <v>0</v>
      </c>
    </row>
    <row r="315" spans="1:26" x14ac:dyDescent="0.3">
      <c r="A315" s="5">
        <f t="shared" si="19"/>
        <v>314</v>
      </c>
      <c r="B315" s="7" t="s">
        <v>306</v>
      </c>
      <c r="C315" s="7" t="s">
        <v>196</v>
      </c>
      <c r="D315" s="6">
        <v>31</v>
      </c>
      <c r="E315" s="6" t="s">
        <v>14</v>
      </c>
      <c r="F315" s="6" t="s">
        <v>22</v>
      </c>
      <c r="G315" s="6">
        <v>10000</v>
      </c>
      <c r="H315" s="6">
        <v>72000</v>
      </c>
      <c r="I315" s="6" t="s">
        <v>23</v>
      </c>
      <c r="J315" s="6">
        <v>0</v>
      </c>
      <c r="K315" s="6">
        <v>700</v>
      </c>
      <c r="L315" s="6" t="s">
        <v>31</v>
      </c>
      <c r="M315" s="6" t="s">
        <v>82</v>
      </c>
      <c r="N315" s="6" t="s">
        <v>18</v>
      </c>
      <c r="O315" s="5">
        <v>8</v>
      </c>
      <c r="P315" t="e">
        <v>#DIV/0!</v>
      </c>
      <c r="Q315" t="b">
        <v>0</v>
      </c>
      <c r="R315" s="5" t="str">
        <v>Odd</v>
      </c>
      <c r="S315">
        <f t="shared" si="15"/>
        <v>15</v>
      </c>
      <c r="T315" t="str">
        <v>Good</v>
      </c>
      <c r="U315" t="str">
        <v/>
      </c>
      <c r="V315" t="b">
        <v>0</v>
      </c>
      <c r="W315" t="str" cm="1">
        <f t="array" ref="W315">IF(AND(D315:D663&gt;40, K315:K663&lt;300, H315:H663&lt;8000), "Not Eligible", "Eligible")</f>
        <v>Eligible</v>
      </c>
      <c r="X315" t="str">
        <f t="shared" si="16"/>
        <v>Good</v>
      </c>
      <c r="Y315" t="str">
        <f t="shared" si="17"/>
        <v>In Progress</v>
      </c>
      <c r="Z315" t="b">
        <v>1</v>
      </c>
    </row>
    <row r="316" spans="1:26" x14ac:dyDescent="0.3">
      <c r="A316" s="5">
        <f t="shared" si="19"/>
        <v>315</v>
      </c>
      <c r="B316" s="7" t="s">
        <v>158</v>
      </c>
      <c r="C316" s="7" t="s">
        <v>180</v>
      </c>
      <c r="D316" s="6">
        <v>44</v>
      </c>
      <c r="E316" s="6" t="s">
        <v>21</v>
      </c>
      <c r="F316" s="6" t="s">
        <v>15</v>
      </c>
      <c r="G316" s="6">
        <v>3500</v>
      </c>
      <c r="H316" s="6">
        <v>53000</v>
      </c>
      <c r="I316" s="6" t="s">
        <v>16</v>
      </c>
      <c r="J316" s="6">
        <v>12000</v>
      </c>
      <c r="K316" s="6">
        <v>680</v>
      </c>
      <c r="L316" s="6" t="s">
        <v>17</v>
      </c>
      <c r="M316" s="6" t="s">
        <v>81</v>
      </c>
      <c r="N316" s="6" t="s">
        <v>25</v>
      </c>
      <c r="O316" s="5">
        <v>4</v>
      </c>
      <c r="P316">
        <v>4.416666666666667</v>
      </c>
      <c r="Q316" t="b">
        <v>1</v>
      </c>
      <c r="R316" s="5" t="str">
        <v>Even</v>
      </c>
      <c r="S316">
        <f t="shared" si="15"/>
        <v>25</v>
      </c>
      <c r="T316" t="str">
        <v/>
      </c>
      <c r="U316" t="str">
        <v>Bad</v>
      </c>
      <c r="V316" t="b">
        <v>0</v>
      </c>
      <c r="W316" t="str" cm="1">
        <f t="array" ref="W316">IF(AND(D316:D664&gt;40, K316:K664&lt;300, H316:H664&lt;8000), "Not Eligible", "Eligible")</f>
        <v>Eligible</v>
      </c>
      <c r="X316" t="str">
        <f t="shared" si="16"/>
        <v>Bad</v>
      </c>
      <c r="Y316" t="str">
        <f t="shared" si="17"/>
        <v/>
      </c>
      <c r="Z316" t="b">
        <v>0</v>
      </c>
    </row>
    <row r="317" spans="1:26" x14ac:dyDescent="0.3">
      <c r="A317" s="5">
        <f t="shared" si="19"/>
        <v>316</v>
      </c>
      <c r="B317" s="7" t="s">
        <v>307</v>
      </c>
      <c r="C317" s="7" t="s">
        <v>136</v>
      </c>
      <c r="D317" s="6">
        <v>28</v>
      </c>
      <c r="E317" s="6" t="s">
        <v>14</v>
      </c>
      <c r="F317" s="6" t="s">
        <v>22</v>
      </c>
      <c r="G317" s="6">
        <v>8000</v>
      </c>
      <c r="H317" s="6">
        <v>60000</v>
      </c>
      <c r="I317" s="6" t="s">
        <v>23</v>
      </c>
      <c r="J317" s="6">
        <v>0</v>
      </c>
      <c r="K317" s="6">
        <v>710</v>
      </c>
      <c r="L317" s="6" t="s">
        <v>24</v>
      </c>
      <c r="M317" s="6" t="s">
        <v>80</v>
      </c>
      <c r="N317" s="6" t="s">
        <v>18</v>
      </c>
      <c r="O317" s="5">
        <v>3</v>
      </c>
      <c r="P317" t="e">
        <v>#DIV/0!</v>
      </c>
      <c r="Q317" t="b">
        <v>0</v>
      </c>
      <c r="R317" s="5" t="str">
        <v>Even</v>
      </c>
      <c r="S317">
        <f t="shared" si="15"/>
        <v>9</v>
      </c>
      <c r="T317" t="str">
        <v>Good</v>
      </c>
      <c r="U317" t="str">
        <v/>
      </c>
      <c r="V317" t="b">
        <v>0</v>
      </c>
      <c r="W317" t="str" cm="1">
        <f t="array" ref="W317">IF(AND(D317:D665&gt;40, K317:K665&lt;300, H317:H665&lt;8000), "Not Eligible", "Eligible")</f>
        <v>Eligible</v>
      </c>
      <c r="X317" t="str">
        <f t="shared" si="16"/>
        <v>Good</v>
      </c>
      <c r="Y317" t="str">
        <f t="shared" si="17"/>
        <v>In Progress</v>
      </c>
      <c r="Z317" t="b">
        <v>1</v>
      </c>
    </row>
    <row r="318" spans="1:26" x14ac:dyDescent="0.3">
      <c r="A318" s="5">
        <f t="shared" si="19"/>
        <v>317</v>
      </c>
      <c r="B318" s="7" t="s">
        <v>279</v>
      </c>
      <c r="C318" s="7" t="s">
        <v>190</v>
      </c>
      <c r="D318" s="6">
        <v>39</v>
      </c>
      <c r="E318" s="6" t="s">
        <v>21</v>
      </c>
      <c r="F318" s="6" t="s">
        <v>15</v>
      </c>
      <c r="G318" s="6">
        <v>13000</v>
      </c>
      <c r="H318" s="6">
        <v>85000</v>
      </c>
      <c r="I318" s="6" t="s">
        <v>16</v>
      </c>
      <c r="J318" s="6">
        <v>15000</v>
      </c>
      <c r="K318" s="6">
        <v>740</v>
      </c>
      <c r="L318" s="6" t="s">
        <v>28</v>
      </c>
      <c r="M318" s="6" t="s">
        <v>82</v>
      </c>
      <c r="N318" s="6" t="s">
        <v>25</v>
      </c>
      <c r="O318" s="5">
        <v>7</v>
      </c>
      <c r="P318">
        <v>5.666666666666667</v>
      </c>
      <c r="Q318" t="b">
        <v>1</v>
      </c>
      <c r="R318" s="5" t="str">
        <v>Odd</v>
      </c>
      <c r="S318">
        <f t="shared" si="15"/>
        <v>1</v>
      </c>
      <c r="T318" t="str">
        <v/>
      </c>
      <c r="U318" t="str">
        <v>Bad</v>
      </c>
      <c r="V318" t="b">
        <v>0</v>
      </c>
      <c r="W318" t="str" cm="1">
        <f t="array" ref="W318">IF(AND(D318:D666&gt;40, K318:K666&lt;300, H318:H666&lt;8000), "Not Eligible", "Eligible")</f>
        <v>Eligible</v>
      </c>
      <c r="X318" t="str">
        <f t="shared" si="16"/>
        <v>Bad</v>
      </c>
      <c r="Y318" t="str">
        <f t="shared" si="17"/>
        <v/>
      </c>
      <c r="Z318" t="b">
        <v>0</v>
      </c>
    </row>
    <row r="319" spans="1:26" x14ac:dyDescent="0.3">
      <c r="A319" s="5">
        <f t="shared" si="19"/>
        <v>318</v>
      </c>
      <c r="B319" s="7" t="s">
        <v>159</v>
      </c>
      <c r="C319" s="7" t="s">
        <v>237</v>
      </c>
      <c r="D319" s="6">
        <v>26</v>
      </c>
      <c r="E319" s="6" t="s">
        <v>14</v>
      </c>
      <c r="F319" s="6" t="s">
        <v>22</v>
      </c>
      <c r="G319" s="6">
        <v>4000</v>
      </c>
      <c r="H319" s="6">
        <v>49000</v>
      </c>
      <c r="I319" s="6" t="s">
        <v>23</v>
      </c>
      <c r="J319" s="6">
        <v>0</v>
      </c>
      <c r="K319" s="6">
        <v>690</v>
      </c>
      <c r="L319" s="6" t="s">
        <v>31</v>
      </c>
      <c r="M319" s="6" t="s">
        <v>80</v>
      </c>
      <c r="N319" s="6" t="s">
        <v>18</v>
      </c>
      <c r="O319" s="5">
        <v>12</v>
      </c>
      <c r="P319" t="e">
        <v>#DIV/0!</v>
      </c>
      <c r="Q319" t="b">
        <v>0</v>
      </c>
      <c r="R319" s="5" t="str">
        <v>Even</v>
      </c>
      <c r="S319">
        <f t="shared" si="15"/>
        <v>17</v>
      </c>
      <c r="T319" t="str">
        <v>Good</v>
      </c>
      <c r="U319" t="str">
        <v/>
      </c>
      <c r="V319" t="b">
        <v>0</v>
      </c>
      <c r="W319" t="str" cm="1">
        <f t="array" ref="W319">IF(AND(D319:D667&gt;40, K319:K667&lt;300, H319:H667&lt;8000), "Not Eligible", "Eligible")</f>
        <v>Eligible</v>
      </c>
      <c r="X319" t="str">
        <f t="shared" si="16"/>
        <v>Good</v>
      </c>
      <c r="Y319" t="str">
        <f t="shared" si="17"/>
        <v>In Progress</v>
      </c>
      <c r="Z319" t="b">
        <v>1</v>
      </c>
    </row>
    <row r="320" spans="1:26" x14ac:dyDescent="0.3">
      <c r="A320" s="5">
        <f t="shared" si="19"/>
        <v>319</v>
      </c>
      <c r="B320" s="7" t="s">
        <v>308</v>
      </c>
      <c r="C320" s="7" t="s">
        <v>172</v>
      </c>
      <c r="D320" s="6">
        <v>33</v>
      </c>
      <c r="E320" s="6" t="s">
        <v>14</v>
      </c>
      <c r="F320" s="6" t="s">
        <v>15</v>
      </c>
      <c r="G320" s="6">
        <v>2200</v>
      </c>
      <c r="H320" s="6">
        <v>45000</v>
      </c>
      <c r="I320" s="6" t="s">
        <v>16</v>
      </c>
      <c r="J320" s="6">
        <v>10000</v>
      </c>
      <c r="K320" s="6">
        <v>670</v>
      </c>
      <c r="L320" s="6" t="s">
        <v>17</v>
      </c>
      <c r="M320" s="6" t="s">
        <v>81</v>
      </c>
      <c r="N320" s="6" t="s">
        <v>25</v>
      </c>
      <c r="O320" s="5">
        <v>11</v>
      </c>
      <c r="P320">
        <v>4.5</v>
      </c>
      <c r="Q320" t="b">
        <v>1</v>
      </c>
      <c r="R320" s="5" t="str">
        <v>Odd</v>
      </c>
      <c r="S320">
        <f t="shared" si="15"/>
        <v>28</v>
      </c>
      <c r="T320" t="str">
        <v/>
      </c>
      <c r="U320" t="str">
        <v>Bad</v>
      </c>
      <c r="V320" t="b">
        <v>0</v>
      </c>
      <c r="W320" t="str" cm="1">
        <f t="array" ref="W320">IF(AND(D320:D668&gt;40, K320:K668&lt;300, H320:H668&lt;8000), "Not Eligible", "Eligible")</f>
        <v>Eligible</v>
      </c>
      <c r="X320" t="str">
        <f t="shared" si="16"/>
        <v>Good</v>
      </c>
      <c r="Y320" t="str">
        <f t="shared" si="17"/>
        <v/>
      </c>
      <c r="Z320" t="b">
        <v>0</v>
      </c>
    </row>
    <row r="321" spans="1:26" x14ac:dyDescent="0.3">
      <c r="A321" s="5">
        <f t="shared" si="19"/>
        <v>320</v>
      </c>
      <c r="B321" s="7" t="s">
        <v>298</v>
      </c>
      <c r="C321" s="7" t="s">
        <v>170</v>
      </c>
      <c r="D321" s="6">
        <v>46</v>
      </c>
      <c r="E321" s="6" t="s">
        <v>14</v>
      </c>
      <c r="F321" s="6" t="s">
        <v>22</v>
      </c>
      <c r="G321" s="6">
        <v>15000</v>
      </c>
      <c r="H321" s="6">
        <v>77000</v>
      </c>
      <c r="I321" s="6" t="s">
        <v>23</v>
      </c>
      <c r="J321" s="6">
        <v>0</v>
      </c>
      <c r="K321" s="6">
        <v>720</v>
      </c>
      <c r="L321" s="6" t="s">
        <v>24</v>
      </c>
      <c r="M321" s="6" t="s">
        <v>82</v>
      </c>
      <c r="N321" s="6" t="s">
        <v>18</v>
      </c>
      <c r="O321" s="5">
        <v>3</v>
      </c>
      <c r="P321" t="e">
        <v>#DIV/0!</v>
      </c>
      <c r="Q321" t="b">
        <v>0</v>
      </c>
      <c r="R321" s="5" t="str">
        <v>Even</v>
      </c>
      <c r="S321">
        <f t="shared" si="15"/>
        <v>2</v>
      </c>
      <c r="T321" t="str">
        <v>Good</v>
      </c>
      <c r="U321" t="str">
        <v/>
      </c>
      <c r="V321" t="b">
        <v>0</v>
      </c>
      <c r="W321" t="str" cm="1">
        <f t="array" ref="W321">IF(AND(D321:D669&gt;40, K321:K669&lt;300, H321:H669&lt;8000), "Not Eligible", "Eligible")</f>
        <v>Eligible</v>
      </c>
      <c r="X321" t="str">
        <f t="shared" si="16"/>
        <v>Good</v>
      </c>
      <c r="Y321" t="str">
        <f t="shared" si="17"/>
        <v>In Progress</v>
      </c>
      <c r="Z321" t="b">
        <v>1</v>
      </c>
    </row>
    <row r="322" spans="1:26" x14ac:dyDescent="0.3">
      <c r="A322" s="5">
        <f t="shared" si="19"/>
        <v>321</v>
      </c>
      <c r="B322" s="7" t="s">
        <v>309</v>
      </c>
      <c r="C322" s="7" t="s">
        <v>200</v>
      </c>
      <c r="D322" s="6">
        <v>52</v>
      </c>
      <c r="E322" s="6" t="s">
        <v>21</v>
      </c>
      <c r="F322" s="6" t="s">
        <v>15</v>
      </c>
      <c r="G322" s="6">
        <v>4000</v>
      </c>
      <c r="H322" s="6">
        <v>50000</v>
      </c>
      <c r="I322" s="6" t="s">
        <v>16</v>
      </c>
      <c r="J322" s="6">
        <v>5000</v>
      </c>
      <c r="K322" s="6">
        <v>680</v>
      </c>
      <c r="L322" s="6" t="s">
        <v>28</v>
      </c>
      <c r="M322" s="6" t="s">
        <v>80</v>
      </c>
      <c r="N322" s="6" t="s">
        <v>25</v>
      </c>
      <c r="O322" s="5">
        <v>5</v>
      </c>
      <c r="P322">
        <v>10</v>
      </c>
      <c r="Q322" t="b">
        <v>1</v>
      </c>
      <c r="R322" s="5" t="str">
        <v>Even</v>
      </c>
      <c r="S322">
        <f t="shared" si="15"/>
        <v>21</v>
      </c>
      <c r="T322" t="str">
        <v/>
      </c>
      <c r="U322" t="str">
        <v>Bad</v>
      </c>
      <c r="V322" t="b">
        <v>0</v>
      </c>
      <c r="W322" t="str" cm="1">
        <f t="array" ref="W322">IF(AND(D322:D670&gt;40, K322:K670&lt;300, H322:H670&lt;8000), "Not Eligible", "Eligible")</f>
        <v>Eligible</v>
      </c>
      <c r="X322" t="str">
        <f t="shared" si="16"/>
        <v>Bad</v>
      </c>
      <c r="Y322" t="str">
        <f t="shared" si="17"/>
        <v/>
      </c>
      <c r="Z322" t="b">
        <v>0</v>
      </c>
    </row>
    <row r="323" spans="1:26" x14ac:dyDescent="0.3">
      <c r="A323" s="5">
        <f t="shared" si="19"/>
        <v>322</v>
      </c>
      <c r="B323" s="7" t="s">
        <v>165</v>
      </c>
      <c r="C323" s="7" t="s">
        <v>178</v>
      </c>
      <c r="D323" s="6">
        <v>24</v>
      </c>
      <c r="E323" s="6" t="s">
        <v>14</v>
      </c>
      <c r="F323" s="6" t="s">
        <v>15</v>
      </c>
      <c r="G323" s="6">
        <v>9000</v>
      </c>
      <c r="H323" s="6">
        <v>69000</v>
      </c>
      <c r="I323" s="6" t="s">
        <v>23</v>
      </c>
      <c r="J323" s="6">
        <v>0</v>
      </c>
      <c r="K323" s="6">
        <v>700</v>
      </c>
      <c r="L323" s="6" t="s">
        <v>31</v>
      </c>
      <c r="M323" s="6" t="s">
        <v>82</v>
      </c>
      <c r="N323" s="6" t="s">
        <v>18</v>
      </c>
      <c r="O323" s="5">
        <v>3</v>
      </c>
      <c r="P323" t="e">
        <v>#DIV/0!</v>
      </c>
      <c r="Q323" t="b">
        <v>0</v>
      </c>
      <c r="R323" s="5" t="str">
        <v>Even</v>
      </c>
      <c r="S323">
        <f t="shared" ref="S323:S350" si="20">_xlfn.RANK.EQ(K323,K323:K671,0)</f>
        <v>12</v>
      </c>
      <c r="T323" t="str">
        <v>Good</v>
      </c>
      <c r="U323" t="str">
        <v/>
      </c>
      <c r="V323" t="b">
        <v>0</v>
      </c>
      <c r="W323" t="str" cm="1">
        <f t="array" ref="W323">IF(AND(D323:D671&gt;40, K323:K671&lt;300, H323:H671&lt;8000), "Not Eligible", "Eligible")</f>
        <v>Eligible</v>
      </c>
      <c r="X323" t="str">
        <f t="shared" ref="X323:X350" si="21">IF(AND(E323="M",K323&gt;500,G323&gt;2000),"Good", "Bad")</f>
        <v>Good</v>
      </c>
      <c r="Y323" t="str">
        <f t="shared" ref="Y323:Y350" si="22">IF(AND(M323&lt;&gt;"none",N323="Active"),"In Progress", "")</f>
        <v>In Progress</v>
      </c>
      <c r="Z323" t="b">
        <v>1</v>
      </c>
    </row>
    <row r="324" spans="1:26" x14ac:dyDescent="0.3">
      <c r="A324" s="5">
        <f t="shared" si="19"/>
        <v>323</v>
      </c>
      <c r="B324" s="7" t="s">
        <v>310</v>
      </c>
      <c r="C324" s="7" t="s">
        <v>196</v>
      </c>
      <c r="D324" s="6">
        <v>38</v>
      </c>
      <c r="E324" s="6" t="s">
        <v>21</v>
      </c>
      <c r="F324" s="6" t="s">
        <v>22</v>
      </c>
      <c r="G324" s="6">
        <v>5500</v>
      </c>
      <c r="H324" s="6">
        <v>54000</v>
      </c>
      <c r="I324" s="6" t="s">
        <v>16</v>
      </c>
      <c r="J324" s="6">
        <v>13000</v>
      </c>
      <c r="K324" s="6">
        <v>710</v>
      </c>
      <c r="L324" s="6" t="s">
        <v>17</v>
      </c>
      <c r="M324" s="6" t="s">
        <v>80</v>
      </c>
      <c r="N324" s="6" t="s">
        <v>25</v>
      </c>
      <c r="O324" s="5">
        <v>11</v>
      </c>
      <c r="P324">
        <v>4.1538461538461542</v>
      </c>
      <c r="Q324" t="b">
        <v>1</v>
      </c>
      <c r="R324" s="5" t="str">
        <v>Even</v>
      </c>
      <c r="S324">
        <f t="shared" si="20"/>
        <v>7</v>
      </c>
      <c r="T324" t="str">
        <v/>
      </c>
      <c r="U324" t="str">
        <v>Bad</v>
      </c>
      <c r="V324" t="b">
        <v>0</v>
      </c>
      <c r="W324" t="str" cm="1">
        <f t="array" ref="W324">IF(AND(D324:D672&gt;40, K324:K672&lt;300, H324:H672&lt;8000), "Not Eligible", "Eligible")</f>
        <v>Eligible</v>
      </c>
      <c r="X324" t="str">
        <f t="shared" si="21"/>
        <v>Bad</v>
      </c>
      <c r="Y324" t="str">
        <f t="shared" si="22"/>
        <v/>
      </c>
      <c r="Z324" t="b">
        <v>0</v>
      </c>
    </row>
    <row r="325" spans="1:26" x14ac:dyDescent="0.3">
      <c r="A325" s="5">
        <f t="shared" si="19"/>
        <v>324</v>
      </c>
      <c r="B325" s="7" t="s">
        <v>70</v>
      </c>
      <c r="C325" s="7" t="s">
        <v>244</v>
      </c>
      <c r="D325" s="6">
        <v>27</v>
      </c>
      <c r="E325" s="6" t="s">
        <v>14</v>
      </c>
      <c r="F325" s="6" t="s">
        <v>15</v>
      </c>
      <c r="G325" s="6">
        <v>7000</v>
      </c>
      <c r="H325" s="6">
        <v>74000</v>
      </c>
      <c r="I325" s="6" t="s">
        <v>23</v>
      </c>
      <c r="J325" s="6">
        <v>0</v>
      </c>
      <c r="K325" s="6">
        <v>690</v>
      </c>
      <c r="L325" s="6" t="s">
        <v>24</v>
      </c>
      <c r="M325" s="6" t="s">
        <v>81</v>
      </c>
      <c r="N325" s="6" t="s">
        <v>18</v>
      </c>
      <c r="O325" s="5">
        <v>11</v>
      </c>
      <c r="P325" t="e">
        <v>#DIV/0!</v>
      </c>
      <c r="Q325" t="b">
        <v>0</v>
      </c>
      <c r="R325" s="5" t="str">
        <v>Odd</v>
      </c>
      <c r="S325">
        <f t="shared" si="20"/>
        <v>14</v>
      </c>
      <c r="T325" t="str">
        <v>Good</v>
      </c>
      <c r="U325" t="str">
        <v/>
      </c>
      <c r="V325" t="b">
        <v>0</v>
      </c>
      <c r="W325" t="str" cm="1">
        <f t="array" ref="W325">IF(AND(D325:D673&gt;40, K325:K673&lt;300, H325:H673&lt;8000), "Not Eligible", "Eligible")</f>
        <v>Eligible</v>
      </c>
      <c r="X325" t="str">
        <f t="shared" si="21"/>
        <v>Good</v>
      </c>
      <c r="Y325" t="str">
        <f t="shared" si="22"/>
        <v>In Progress</v>
      </c>
      <c r="Z325" t="b">
        <v>1</v>
      </c>
    </row>
    <row r="326" spans="1:26" x14ac:dyDescent="0.3">
      <c r="A326" s="5">
        <f t="shared" si="19"/>
        <v>325</v>
      </c>
      <c r="B326" s="7" t="s">
        <v>311</v>
      </c>
      <c r="C326" s="7" t="s">
        <v>225</v>
      </c>
      <c r="D326" s="6">
        <v>41</v>
      </c>
      <c r="E326" s="6" t="s">
        <v>21</v>
      </c>
      <c r="F326" s="6" t="s">
        <v>22</v>
      </c>
      <c r="G326" s="6">
        <v>6000</v>
      </c>
      <c r="H326" s="6">
        <v>68000</v>
      </c>
      <c r="I326" s="6" t="s">
        <v>16</v>
      </c>
      <c r="J326" s="6">
        <v>8000</v>
      </c>
      <c r="K326" s="6">
        <v>720</v>
      </c>
      <c r="L326" s="6" t="s">
        <v>28</v>
      </c>
      <c r="M326" s="6" t="s">
        <v>81</v>
      </c>
      <c r="N326" s="6" t="s">
        <v>25</v>
      </c>
      <c r="O326" s="5">
        <v>6</v>
      </c>
      <c r="P326">
        <v>8.5</v>
      </c>
      <c r="Q326" t="b">
        <v>1</v>
      </c>
      <c r="R326" s="5" t="str">
        <v>Odd</v>
      </c>
      <c r="S326">
        <f t="shared" si="20"/>
        <v>2</v>
      </c>
      <c r="T326" t="str">
        <v/>
      </c>
      <c r="U326" t="str">
        <v>Bad</v>
      </c>
      <c r="V326" t="b">
        <v>0</v>
      </c>
      <c r="W326" t="str" cm="1">
        <f t="array" ref="W326">IF(AND(D326:D674&gt;40, K326:K674&lt;300, H326:H674&lt;8000), "Not Eligible", "Eligible")</f>
        <v>Eligible</v>
      </c>
      <c r="X326" t="str">
        <f t="shared" si="21"/>
        <v>Bad</v>
      </c>
      <c r="Y326" t="str">
        <f t="shared" si="22"/>
        <v/>
      </c>
      <c r="Z326" t="b">
        <v>0</v>
      </c>
    </row>
    <row r="327" spans="1:26" x14ac:dyDescent="0.3">
      <c r="A327" s="5">
        <f t="shared" si="19"/>
        <v>326</v>
      </c>
      <c r="B327" s="7" t="s">
        <v>185</v>
      </c>
      <c r="C327" s="7" t="s">
        <v>63</v>
      </c>
      <c r="D327" s="6">
        <v>32</v>
      </c>
      <c r="E327" s="6" t="s">
        <v>14</v>
      </c>
      <c r="F327" s="6" t="s">
        <v>15</v>
      </c>
      <c r="G327" s="6">
        <v>2500</v>
      </c>
      <c r="H327" s="6">
        <v>45000</v>
      </c>
      <c r="I327" s="6" t="s">
        <v>23</v>
      </c>
      <c r="J327" s="6">
        <v>0</v>
      </c>
      <c r="K327" s="6">
        <v>670</v>
      </c>
      <c r="L327" s="6" t="s">
        <v>31</v>
      </c>
      <c r="M327" s="6" t="s">
        <v>81</v>
      </c>
      <c r="N327" s="6" t="s">
        <v>18</v>
      </c>
      <c r="O327" s="5">
        <v>6</v>
      </c>
      <c r="P327" t="e">
        <v>#DIV/0!</v>
      </c>
      <c r="Q327" t="b">
        <v>0</v>
      </c>
      <c r="R327" s="5" t="str">
        <v>Even</v>
      </c>
      <c r="S327">
        <f t="shared" si="20"/>
        <v>22</v>
      </c>
      <c r="T327" t="str">
        <v>Good</v>
      </c>
      <c r="U327" t="str">
        <v/>
      </c>
      <c r="V327" t="b">
        <v>0</v>
      </c>
      <c r="W327" t="str" cm="1">
        <f t="array" ref="W327">IF(AND(D327:D675&gt;40, K327:K675&lt;300, H327:H675&lt;8000), "Not Eligible", "Eligible")</f>
        <v>Eligible</v>
      </c>
      <c r="X327" t="str">
        <f t="shared" si="21"/>
        <v>Good</v>
      </c>
      <c r="Y327" t="str">
        <f t="shared" si="22"/>
        <v>In Progress</v>
      </c>
      <c r="Z327" t="b">
        <v>1</v>
      </c>
    </row>
    <row r="328" spans="1:26" x14ac:dyDescent="0.3">
      <c r="A328" s="5">
        <f t="shared" si="19"/>
        <v>327</v>
      </c>
      <c r="B328" s="7" t="s">
        <v>142</v>
      </c>
      <c r="C328" s="7" t="s">
        <v>182</v>
      </c>
      <c r="D328" s="6">
        <v>47</v>
      </c>
      <c r="E328" s="6" t="s">
        <v>21</v>
      </c>
      <c r="F328" s="6" t="s">
        <v>22</v>
      </c>
      <c r="G328" s="6">
        <v>11000</v>
      </c>
      <c r="H328" s="6">
        <v>80000</v>
      </c>
      <c r="I328" s="6" t="s">
        <v>16</v>
      </c>
      <c r="J328" s="6">
        <v>15000</v>
      </c>
      <c r="K328" s="6">
        <v>740</v>
      </c>
      <c r="L328" s="6" t="s">
        <v>17</v>
      </c>
      <c r="M328" s="6" t="s">
        <v>82</v>
      </c>
      <c r="N328" s="6" t="s">
        <v>25</v>
      </c>
      <c r="O328" s="5">
        <v>5</v>
      </c>
      <c r="P328">
        <v>5.333333333333333</v>
      </c>
      <c r="Q328" t="b">
        <v>1</v>
      </c>
      <c r="R328" s="5" t="str">
        <v>Odd</v>
      </c>
      <c r="S328">
        <f t="shared" si="20"/>
        <v>1</v>
      </c>
      <c r="T328" t="str">
        <v/>
      </c>
      <c r="U328" t="str">
        <v>Bad</v>
      </c>
      <c r="V328" t="b">
        <v>0</v>
      </c>
      <c r="W328" t="str" cm="1">
        <f t="array" ref="W328">IF(AND(D328:D676&gt;40, K328:K676&lt;300, H328:H676&lt;8000), "Not Eligible", "Eligible")</f>
        <v>Eligible</v>
      </c>
      <c r="X328" t="str">
        <f t="shared" si="21"/>
        <v>Bad</v>
      </c>
      <c r="Y328" t="str">
        <f t="shared" si="22"/>
        <v/>
      </c>
      <c r="Z328" t="b">
        <v>0</v>
      </c>
    </row>
    <row r="329" spans="1:26" x14ac:dyDescent="0.3">
      <c r="A329" s="5">
        <f t="shared" si="19"/>
        <v>328</v>
      </c>
      <c r="B329" s="7" t="s">
        <v>232</v>
      </c>
      <c r="C329" s="7" t="s">
        <v>279</v>
      </c>
      <c r="D329" s="6">
        <v>35</v>
      </c>
      <c r="E329" s="6" t="s">
        <v>14</v>
      </c>
      <c r="F329" s="6" t="s">
        <v>15</v>
      </c>
      <c r="G329" s="6">
        <v>3000</v>
      </c>
      <c r="H329" s="6">
        <v>47000</v>
      </c>
      <c r="I329" s="6" t="s">
        <v>23</v>
      </c>
      <c r="J329" s="6">
        <v>0</v>
      </c>
      <c r="K329" s="6">
        <v>680</v>
      </c>
      <c r="L329" s="6" t="s">
        <v>24</v>
      </c>
      <c r="M329" s="6" t="s">
        <v>82</v>
      </c>
      <c r="N329" s="6" t="s">
        <v>18</v>
      </c>
      <c r="O329" s="5">
        <v>4</v>
      </c>
      <c r="P329" t="e">
        <v>#DIV/0!</v>
      </c>
      <c r="Q329" t="b">
        <v>0</v>
      </c>
      <c r="R329" s="5" t="str">
        <v>Odd</v>
      </c>
      <c r="S329">
        <f t="shared" si="20"/>
        <v>16</v>
      </c>
      <c r="T329" t="str">
        <v>Good</v>
      </c>
      <c r="U329" t="str">
        <v/>
      </c>
      <c r="V329" t="b">
        <v>0</v>
      </c>
      <c r="W329" t="str" cm="1">
        <f t="array" ref="W329">IF(AND(D329:D677&gt;40, K329:K677&lt;300, H329:H677&lt;8000), "Not Eligible", "Eligible")</f>
        <v>Eligible</v>
      </c>
      <c r="X329" t="str">
        <f t="shared" si="21"/>
        <v>Good</v>
      </c>
      <c r="Y329" t="str">
        <f t="shared" si="22"/>
        <v>In Progress</v>
      </c>
      <c r="Z329" t="b">
        <v>1</v>
      </c>
    </row>
    <row r="330" spans="1:26" x14ac:dyDescent="0.3">
      <c r="A330" s="5">
        <f t="shared" si="19"/>
        <v>329</v>
      </c>
      <c r="B330" s="7" t="s">
        <v>199</v>
      </c>
      <c r="C330" s="7" t="s">
        <v>207</v>
      </c>
      <c r="D330" s="6">
        <v>29</v>
      </c>
      <c r="E330" s="6" t="s">
        <v>21</v>
      </c>
      <c r="F330" s="6" t="s">
        <v>22</v>
      </c>
      <c r="G330" s="6">
        <v>4000</v>
      </c>
      <c r="H330" s="6">
        <v>53000</v>
      </c>
      <c r="I330" s="6" t="s">
        <v>16</v>
      </c>
      <c r="J330" s="6">
        <v>10000</v>
      </c>
      <c r="K330" s="6">
        <v>690</v>
      </c>
      <c r="L330" s="6" t="s">
        <v>28</v>
      </c>
      <c r="M330" s="6" t="s">
        <v>80</v>
      </c>
      <c r="N330" s="6" t="s">
        <v>25</v>
      </c>
      <c r="O330" s="5">
        <v>6</v>
      </c>
      <c r="P330">
        <v>5.3</v>
      </c>
      <c r="Q330" t="b">
        <v>1</v>
      </c>
      <c r="R330" s="5" t="str">
        <v>Odd</v>
      </c>
      <c r="S330">
        <f t="shared" si="20"/>
        <v>12</v>
      </c>
      <c r="T330" t="str">
        <v/>
      </c>
      <c r="U330" t="str">
        <v>Bad</v>
      </c>
      <c r="V330" t="b">
        <v>0</v>
      </c>
      <c r="W330" t="str" cm="1">
        <f t="array" ref="W330">IF(AND(D330:D678&gt;40, K330:K678&lt;300, H330:H678&lt;8000), "Not Eligible", "Eligible")</f>
        <v>Eligible</v>
      </c>
      <c r="X330" t="str">
        <f t="shared" si="21"/>
        <v>Bad</v>
      </c>
      <c r="Y330" t="str">
        <f t="shared" si="22"/>
        <v/>
      </c>
      <c r="Z330" t="b">
        <v>0</v>
      </c>
    </row>
    <row r="331" spans="1:26" x14ac:dyDescent="0.3">
      <c r="A331" s="5">
        <f t="shared" si="19"/>
        <v>330</v>
      </c>
      <c r="B331" s="7" t="s">
        <v>243</v>
      </c>
      <c r="C331" s="7" t="s">
        <v>51</v>
      </c>
      <c r="D331" s="6">
        <v>42</v>
      </c>
      <c r="E331" s="6" t="s">
        <v>14</v>
      </c>
      <c r="F331" s="6" t="s">
        <v>15</v>
      </c>
      <c r="G331" s="6">
        <v>9000</v>
      </c>
      <c r="H331" s="6">
        <v>71000</v>
      </c>
      <c r="I331" s="6" t="s">
        <v>23</v>
      </c>
      <c r="J331" s="6">
        <v>0</v>
      </c>
      <c r="K331" s="6">
        <v>700</v>
      </c>
      <c r="L331" s="6" t="s">
        <v>31</v>
      </c>
      <c r="M331" s="6" t="s">
        <v>81</v>
      </c>
      <c r="N331" s="6" t="s">
        <v>18</v>
      </c>
      <c r="O331" s="5">
        <v>5</v>
      </c>
      <c r="P331" t="e">
        <v>#DIV/0!</v>
      </c>
      <c r="Q331" t="b">
        <v>0</v>
      </c>
      <c r="R331" s="5" t="str">
        <v>Even</v>
      </c>
      <c r="S331">
        <f t="shared" si="20"/>
        <v>9</v>
      </c>
      <c r="T331" t="str">
        <v>Good</v>
      </c>
      <c r="U331" t="str">
        <v/>
      </c>
      <c r="V331" t="b">
        <v>0</v>
      </c>
      <c r="W331" t="str" cm="1">
        <f t="array" ref="W331">IF(AND(D331:D679&gt;40, K331:K679&lt;300, H331:H679&lt;8000), "Not Eligible", "Eligible")</f>
        <v>Eligible</v>
      </c>
      <c r="X331" t="str">
        <f t="shared" si="21"/>
        <v>Good</v>
      </c>
      <c r="Y331" t="str">
        <f t="shared" si="22"/>
        <v>In Progress</v>
      </c>
      <c r="Z331" t="b">
        <v>1</v>
      </c>
    </row>
    <row r="332" spans="1:26" x14ac:dyDescent="0.3">
      <c r="A332" s="5">
        <f t="shared" si="19"/>
        <v>331</v>
      </c>
      <c r="B332" s="7" t="s">
        <v>124</v>
      </c>
      <c r="C332" s="7" t="s">
        <v>233</v>
      </c>
      <c r="D332" s="6">
        <v>50</v>
      </c>
      <c r="E332" s="6" t="s">
        <v>21</v>
      </c>
      <c r="F332" s="6" t="s">
        <v>22</v>
      </c>
      <c r="G332" s="6">
        <v>8000</v>
      </c>
      <c r="H332" s="6">
        <v>67000</v>
      </c>
      <c r="I332" s="6" t="s">
        <v>16</v>
      </c>
      <c r="J332" s="6">
        <v>12000</v>
      </c>
      <c r="K332" s="6">
        <v>710</v>
      </c>
      <c r="L332" s="6" t="s">
        <v>17</v>
      </c>
      <c r="M332" s="6" t="s">
        <v>82</v>
      </c>
      <c r="N332" s="6" t="s">
        <v>25</v>
      </c>
      <c r="O332" s="5">
        <v>14</v>
      </c>
      <c r="P332">
        <v>5.583333333333333</v>
      </c>
      <c r="Q332" t="b">
        <v>1</v>
      </c>
      <c r="R332" s="5" t="str">
        <v>Even</v>
      </c>
      <c r="S332">
        <f t="shared" si="20"/>
        <v>5</v>
      </c>
      <c r="T332" t="str">
        <v/>
      </c>
      <c r="U332" t="str">
        <v>Bad</v>
      </c>
      <c r="V332" t="b">
        <v>0</v>
      </c>
      <c r="W332" t="str" cm="1">
        <f t="array" ref="W332">IF(AND(D332:D680&gt;40, K332:K680&lt;300, H332:H680&lt;8000), "Not Eligible", "Eligible")</f>
        <v>Eligible</v>
      </c>
      <c r="X332" t="str">
        <f t="shared" si="21"/>
        <v>Bad</v>
      </c>
      <c r="Y332" t="str">
        <f t="shared" si="22"/>
        <v/>
      </c>
      <c r="Z332" t="b">
        <v>0</v>
      </c>
    </row>
    <row r="333" spans="1:26" x14ac:dyDescent="0.3">
      <c r="A333" s="5">
        <f t="shared" si="19"/>
        <v>332</v>
      </c>
      <c r="B333" s="7" t="s">
        <v>155</v>
      </c>
      <c r="C333" s="7" t="s">
        <v>207</v>
      </c>
      <c r="D333" s="6">
        <v>28</v>
      </c>
      <c r="E333" s="6" t="s">
        <v>14</v>
      </c>
      <c r="F333" s="6" t="s">
        <v>15</v>
      </c>
      <c r="G333" s="6">
        <v>5000</v>
      </c>
      <c r="H333" s="6">
        <v>55000</v>
      </c>
      <c r="I333" s="6" t="s">
        <v>23</v>
      </c>
      <c r="J333" s="6">
        <v>0</v>
      </c>
      <c r="K333" s="6">
        <v>690</v>
      </c>
      <c r="L333" s="6" t="s">
        <v>24</v>
      </c>
      <c r="M333" s="6" t="s">
        <v>82</v>
      </c>
      <c r="N333" s="6" t="s">
        <v>18</v>
      </c>
      <c r="O333" s="5">
        <v>12</v>
      </c>
      <c r="P333" t="e">
        <v>#DIV/0!</v>
      </c>
      <c r="Q333" t="b">
        <v>0</v>
      </c>
      <c r="R333" s="5" t="str">
        <v>Even</v>
      </c>
      <c r="S333">
        <f t="shared" si="20"/>
        <v>10</v>
      </c>
      <c r="T333" t="str">
        <v>Good</v>
      </c>
      <c r="U333" t="str">
        <v/>
      </c>
      <c r="V333" t="b">
        <v>0</v>
      </c>
      <c r="W333" t="str" cm="1">
        <f t="array" ref="W333">IF(AND(D333:D681&gt;40, K333:K681&lt;300, H333:H681&lt;8000), "Not Eligible", "Eligible")</f>
        <v>Eligible</v>
      </c>
      <c r="X333" t="str">
        <f t="shared" si="21"/>
        <v>Good</v>
      </c>
      <c r="Y333" t="str">
        <f t="shared" si="22"/>
        <v>In Progress</v>
      </c>
      <c r="Z333" t="b">
        <v>1</v>
      </c>
    </row>
    <row r="334" spans="1:26" x14ac:dyDescent="0.3">
      <c r="A334" s="5">
        <f t="shared" si="19"/>
        <v>333</v>
      </c>
      <c r="B334" s="7" t="s">
        <v>32</v>
      </c>
      <c r="C334" s="7" t="s">
        <v>67</v>
      </c>
      <c r="D334" s="6">
        <v>36</v>
      </c>
      <c r="E334" s="6" t="s">
        <v>21</v>
      </c>
      <c r="F334" s="6" t="s">
        <v>22</v>
      </c>
      <c r="G334" s="6">
        <v>3000</v>
      </c>
      <c r="H334" s="6">
        <v>48000</v>
      </c>
      <c r="I334" s="6" t="s">
        <v>16</v>
      </c>
      <c r="J334" s="6">
        <v>5000</v>
      </c>
      <c r="K334" s="6">
        <v>670</v>
      </c>
      <c r="L334" s="6" t="s">
        <v>28</v>
      </c>
      <c r="M334" s="6" t="s">
        <v>80</v>
      </c>
      <c r="N334" s="6" t="s">
        <v>25</v>
      </c>
      <c r="O334" s="5">
        <v>11</v>
      </c>
      <c r="P334">
        <v>9.6</v>
      </c>
      <c r="Q334" t="b">
        <v>1</v>
      </c>
      <c r="R334" s="5" t="str">
        <v>Even</v>
      </c>
      <c r="S334">
        <f t="shared" si="20"/>
        <v>16</v>
      </c>
      <c r="T334" t="str">
        <v/>
      </c>
      <c r="U334" t="str">
        <v>Bad</v>
      </c>
      <c r="V334" t="b">
        <v>0</v>
      </c>
      <c r="W334" t="str" cm="1">
        <f t="array" ref="W334">IF(AND(D334:D682&gt;40, K334:K682&lt;300, H334:H682&lt;8000), "Not Eligible", "Eligible")</f>
        <v>Eligible</v>
      </c>
      <c r="X334" t="str">
        <f t="shared" si="21"/>
        <v>Bad</v>
      </c>
      <c r="Y334" t="str">
        <f t="shared" si="22"/>
        <v/>
      </c>
      <c r="Z334" t="b">
        <v>0</v>
      </c>
    </row>
    <row r="335" spans="1:26" x14ac:dyDescent="0.3">
      <c r="A335" s="5">
        <f t="shared" si="19"/>
        <v>334</v>
      </c>
      <c r="B335" s="7" t="s">
        <v>144</v>
      </c>
      <c r="C335" s="7" t="s">
        <v>166</v>
      </c>
      <c r="D335" s="6">
        <v>41</v>
      </c>
      <c r="E335" s="6" t="s">
        <v>14</v>
      </c>
      <c r="F335" s="6" t="s">
        <v>15</v>
      </c>
      <c r="G335" s="6">
        <v>11000</v>
      </c>
      <c r="H335" s="6">
        <v>62000</v>
      </c>
      <c r="I335" s="6" t="s">
        <v>23</v>
      </c>
      <c r="J335" s="6">
        <v>0</v>
      </c>
      <c r="K335" s="6">
        <v>720</v>
      </c>
      <c r="L335" s="6" t="s">
        <v>31</v>
      </c>
      <c r="M335" s="6" t="s">
        <v>80</v>
      </c>
      <c r="N335" s="6" t="s">
        <v>18</v>
      </c>
      <c r="O335" s="5">
        <v>8</v>
      </c>
      <c r="P335" t="e">
        <v>#DIV/0!</v>
      </c>
      <c r="Q335" t="b">
        <v>0</v>
      </c>
      <c r="R335" s="5" t="str">
        <v>Odd</v>
      </c>
      <c r="S335">
        <f t="shared" si="20"/>
        <v>1</v>
      </c>
      <c r="T335" t="str">
        <v>Good</v>
      </c>
      <c r="U335" t="str">
        <v/>
      </c>
      <c r="V335" t="b">
        <v>0</v>
      </c>
      <c r="W335" t="str" cm="1">
        <f t="array" ref="W335">IF(AND(D335:D683&gt;40, K335:K683&lt;300, H335:H683&lt;8000), "Not Eligible", "Eligible")</f>
        <v>Eligible</v>
      </c>
      <c r="X335" t="str">
        <f t="shared" si="21"/>
        <v>Good</v>
      </c>
      <c r="Y335" t="str">
        <f t="shared" si="22"/>
        <v>In Progress</v>
      </c>
      <c r="Z335" t="b">
        <v>1</v>
      </c>
    </row>
    <row r="336" spans="1:26" x14ac:dyDescent="0.3">
      <c r="A336" s="5">
        <f t="shared" si="19"/>
        <v>335</v>
      </c>
      <c r="B336" s="7" t="s">
        <v>312</v>
      </c>
      <c r="C336" s="7" t="s">
        <v>196</v>
      </c>
      <c r="D336" s="6">
        <v>30</v>
      </c>
      <c r="E336" s="6" t="s">
        <v>21</v>
      </c>
      <c r="F336" s="6" t="s">
        <v>22</v>
      </c>
      <c r="G336" s="6">
        <v>5500</v>
      </c>
      <c r="H336" s="6">
        <v>69000</v>
      </c>
      <c r="I336" s="6" t="s">
        <v>16</v>
      </c>
      <c r="J336" s="6">
        <v>10000</v>
      </c>
      <c r="K336" s="6">
        <v>710</v>
      </c>
      <c r="L336" s="6" t="s">
        <v>17</v>
      </c>
      <c r="M336" s="6" t="s">
        <v>80</v>
      </c>
      <c r="N336" s="6" t="s">
        <v>25</v>
      </c>
      <c r="O336" s="5">
        <v>4</v>
      </c>
      <c r="P336">
        <v>6.9</v>
      </c>
      <c r="Q336" t="b">
        <v>1</v>
      </c>
      <c r="R336" s="5" t="str">
        <v>Even</v>
      </c>
      <c r="S336">
        <f t="shared" si="20"/>
        <v>4</v>
      </c>
      <c r="T336" t="str">
        <v/>
      </c>
      <c r="U336" t="str">
        <v>Bad</v>
      </c>
      <c r="V336" t="b">
        <v>0</v>
      </c>
      <c r="W336" t="str" cm="1">
        <f t="array" ref="W336">IF(AND(D336:D684&gt;40, K336:K684&lt;300, H336:H684&lt;8000), "Not Eligible", "Eligible")</f>
        <v>Eligible</v>
      </c>
      <c r="X336" t="str">
        <f t="shared" si="21"/>
        <v>Bad</v>
      </c>
      <c r="Y336" t="str">
        <f t="shared" si="22"/>
        <v/>
      </c>
      <c r="Z336" t="b">
        <v>0</v>
      </c>
    </row>
    <row r="337" spans="1:26" x14ac:dyDescent="0.3">
      <c r="A337" s="5">
        <f t="shared" si="19"/>
        <v>336</v>
      </c>
      <c r="B337" s="7" t="s">
        <v>313</v>
      </c>
      <c r="C337" s="7" t="s">
        <v>244</v>
      </c>
      <c r="D337" s="6">
        <v>29</v>
      </c>
      <c r="E337" s="6" t="s">
        <v>14</v>
      </c>
      <c r="F337" s="6" t="s">
        <v>15</v>
      </c>
      <c r="G337" s="6">
        <v>7000</v>
      </c>
      <c r="H337" s="6">
        <v>74000</v>
      </c>
      <c r="I337" s="6" t="s">
        <v>23</v>
      </c>
      <c r="J337" s="6">
        <v>0</v>
      </c>
      <c r="K337" s="6">
        <v>680</v>
      </c>
      <c r="L337" s="6" t="s">
        <v>24</v>
      </c>
      <c r="M337" s="6" t="s">
        <v>80</v>
      </c>
      <c r="N337" s="6" t="s">
        <v>18</v>
      </c>
      <c r="O337" s="5">
        <v>13</v>
      </c>
      <c r="P337" t="e">
        <v>#DIV/0!</v>
      </c>
      <c r="Q337" t="b">
        <v>0</v>
      </c>
      <c r="R337" s="5" t="str">
        <v>Odd</v>
      </c>
      <c r="S337">
        <f t="shared" si="20"/>
        <v>10</v>
      </c>
      <c r="T337" t="str">
        <v>Good</v>
      </c>
      <c r="U337" t="str">
        <v/>
      </c>
      <c r="V337" t="b">
        <v>0</v>
      </c>
      <c r="W337" t="str" cm="1">
        <f t="array" ref="W337">IF(AND(D337:D685&gt;40, K337:K685&lt;300, H337:H685&lt;8000), "Not Eligible", "Eligible")</f>
        <v>Eligible</v>
      </c>
      <c r="X337" t="str">
        <f t="shared" si="21"/>
        <v>Good</v>
      </c>
      <c r="Y337" t="str">
        <f t="shared" si="22"/>
        <v>In Progress</v>
      </c>
      <c r="Z337" t="b">
        <v>1</v>
      </c>
    </row>
    <row r="338" spans="1:26" x14ac:dyDescent="0.3">
      <c r="A338" s="5">
        <f t="shared" si="19"/>
        <v>337</v>
      </c>
      <c r="B338" s="7" t="s">
        <v>217</v>
      </c>
      <c r="C338" s="7" t="s">
        <v>244</v>
      </c>
      <c r="D338" s="6">
        <v>34</v>
      </c>
      <c r="E338" s="6" t="s">
        <v>21</v>
      </c>
      <c r="F338" s="6" t="s">
        <v>22</v>
      </c>
      <c r="G338" s="6">
        <v>2000</v>
      </c>
      <c r="H338" s="6">
        <v>50000</v>
      </c>
      <c r="I338" s="6" t="s">
        <v>16</v>
      </c>
      <c r="J338" s="6">
        <v>7000</v>
      </c>
      <c r="K338" s="6">
        <v>720</v>
      </c>
      <c r="L338" s="6" t="s">
        <v>28</v>
      </c>
      <c r="M338" s="6" t="s">
        <v>80</v>
      </c>
      <c r="N338" s="6" t="s">
        <v>25</v>
      </c>
      <c r="O338" s="5">
        <v>7</v>
      </c>
      <c r="P338">
        <v>7.1428571428571432</v>
      </c>
      <c r="Q338" t="b">
        <v>1</v>
      </c>
      <c r="R338" s="5" t="str">
        <v>Even</v>
      </c>
      <c r="S338">
        <f t="shared" si="20"/>
        <v>1</v>
      </c>
      <c r="T338" t="str">
        <v/>
      </c>
      <c r="U338" t="str">
        <v>Bad</v>
      </c>
      <c r="V338" t="b">
        <v>0</v>
      </c>
      <c r="W338" t="str" cm="1">
        <f t="array" ref="W338">IF(AND(D338:D686&gt;40, K338:K686&lt;300, H338:H686&lt;8000), "Not Eligible", "Eligible")</f>
        <v>Eligible</v>
      </c>
      <c r="X338" t="str">
        <f t="shared" si="21"/>
        <v>Bad</v>
      </c>
      <c r="Y338" t="str">
        <f t="shared" si="22"/>
        <v/>
      </c>
      <c r="Z338" t="b">
        <v>0</v>
      </c>
    </row>
    <row r="339" spans="1:26" x14ac:dyDescent="0.3">
      <c r="A339" s="5">
        <f t="shared" si="19"/>
        <v>338</v>
      </c>
      <c r="B339" s="7" t="s">
        <v>163</v>
      </c>
      <c r="C339" s="7" t="s">
        <v>239</v>
      </c>
      <c r="D339" s="6">
        <v>37</v>
      </c>
      <c r="E339" s="6" t="s">
        <v>14</v>
      </c>
      <c r="F339" s="6" t="s">
        <v>15</v>
      </c>
      <c r="G339" s="6">
        <v>6000</v>
      </c>
      <c r="H339" s="6">
        <v>55000</v>
      </c>
      <c r="I339" s="6" t="s">
        <v>23</v>
      </c>
      <c r="J339" s="6">
        <v>0</v>
      </c>
      <c r="K339" s="6">
        <v>690</v>
      </c>
      <c r="L339" s="6" t="s">
        <v>31</v>
      </c>
      <c r="M339" s="6" t="s">
        <v>80</v>
      </c>
      <c r="N339" s="6" t="s">
        <v>18</v>
      </c>
      <c r="O339" s="5">
        <v>4</v>
      </c>
      <c r="P339" t="e">
        <v>#DIV/0!</v>
      </c>
      <c r="Q339" t="b">
        <v>0</v>
      </c>
      <c r="R339" s="5" t="str">
        <v>Odd</v>
      </c>
      <c r="S339">
        <f t="shared" si="20"/>
        <v>7</v>
      </c>
      <c r="T339" t="str">
        <v>Good</v>
      </c>
      <c r="U339" t="str">
        <v/>
      </c>
      <c r="V339" t="b">
        <v>0</v>
      </c>
      <c r="W339" t="str" cm="1">
        <f t="array" ref="W339">IF(AND(D339:D687&gt;40, K339:K687&lt;300, H339:H687&lt;8000), "Not Eligible", "Eligible")</f>
        <v>Eligible</v>
      </c>
      <c r="X339" t="str">
        <f t="shared" si="21"/>
        <v>Good</v>
      </c>
      <c r="Y339" t="str">
        <f t="shared" si="22"/>
        <v>In Progress</v>
      </c>
      <c r="Z339" t="b">
        <v>1</v>
      </c>
    </row>
    <row r="340" spans="1:26" x14ac:dyDescent="0.3">
      <c r="A340" s="5">
        <f t="shared" si="19"/>
        <v>339</v>
      </c>
      <c r="B340" s="7" t="s">
        <v>314</v>
      </c>
      <c r="C340" s="7" t="s">
        <v>168</v>
      </c>
      <c r="D340" s="6">
        <v>45</v>
      </c>
      <c r="E340" s="6" t="s">
        <v>21</v>
      </c>
      <c r="F340" s="6" t="s">
        <v>22</v>
      </c>
      <c r="G340" s="6">
        <v>3500</v>
      </c>
      <c r="H340" s="6">
        <v>62000</v>
      </c>
      <c r="I340" s="6" t="s">
        <v>16</v>
      </c>
      <c r="J340" s="6">
        <v>13000</v>
      </c>
      <c r="K340" s="6">
        <v>680</v>
      </c>
      <c r="L340" s="6" t="s">
        <v>17</v>
      </c>
      <c r="M340" s="6" t="s">
        <v>82</v>
      </c>
      <c r="N340" s="6" t="s">
        <v>25</v>
      </c>
      <c r="O340" s="5">
        <v>14</v>
      </c>
      <c r="P340">
        <v>4.7692307692307692</v>
      </c>
      <c r="Q340" t="b">
        <v>1</v>
      </c>
      <c r="R340" s="5" t="str">
        <v>Odd</v>
      </c>
      <c r="S340">
        <f t="shared" si="20"/>
        <v>8</v>
      </c>
      <c r="T340" t="str">
        <v/>
      </c>
      <c r="U340" t="str">
        <v>Bad</v>
      </c>
      <c r="V340" t="b">
        <v>0</v>
      </c>
      <c r="W340" t="str" cm="1">
        <f t="array" ref="W340">IF(AND(D340:D688&gt;40, K340:K688&lt;300, H340:H688&lt;8000), "Not Eligible", "Eligible")</f>
        <v>Eligible</v>
      </c>
      <c r="X340" t="str">
        <f t="shared" si="21"/>
        <v>Bad</v>
      </c>
      <c r="Y340" t="str">
        <f t="shared" si="22"/>
        <v/>
      </c>
      <c r="Z340" t="b">
        <v>0</v>
      </c>
    </row>
    <row r="341" spans="1:26" x14ac:dyDescent="0.3">
      <c r="A341" s="5">
        <f t="shared" si="19"/>
        <v>340</v>
      </c>
      <c r="B341" s="7" t="s">
        <v>147</v>
      </c>
      <c r="C341" s="7" t="s">
        <v>27</v>
      </c>
      <c r="D341" s="6">
        <v>40</v>
      </c>
      <c r="E341" s="6" t="s">
        <v>14</v>
      </c>
      <c r="F341" s="6" t="s">
        <v>15</v>
      </c>
      <c r="G341" s="6">
        <v>4000</v>
      </c>
      <c r="H341" s="6">
        <v>48000</v>
      </c>
      <c r="I341" s="6" t="s">
        <v>23</v>
      </c>
      <c r="J341" s="6">
        <v>0</v>
      </c>
      <c r="K341" s="6">
        <v>710</v>
      </c>
      <c r="L341" s="6" t="s">
        <v>24</v>
      </c>
      <c r="M341" s="6" t="s">
        <v>82</v>
      </c>
      <c r="N341" s="6" t="s">
        <v>18</v>
      </c>
      <c r="O341" s="5">
        <v>5</v>
      </c>
      <c r="P341" t="e">
        <v>#DIV/0!</v>
      </c>
      <c r="Q341" t="b">
        <v>0</v>
      </c>
      <c r="R341" s="5" t="str">
        <v>Even</v>
      </c>
      <c r="S341">
        <f t="shared" si="20"/>
        <v>3</v>
      </c>
      <c r="T341" t="str">
        <v>Good</v>
      </c>
      <c r="U341" t="str">
        <v/>
      </c>
      <c r="V341" t="b">
        <v>0</v>
      </c>
      <c r="W341" t="str" cm="1">
        <f t="array" ref="W341">IF(AND(D341:D689&gt;40, K341:K689&lt;300, H341:H689&lt;8000), "Not Eligible", "Eligible")</f>
        <v>Eligible</v>
      </c>
      <c r="X341" t="str">
        <f t="shared" si="21"/>
        <v>Good</v>
      </c>
      <c r="Y341" t="str">
        <f t="shared" si="22"/>
        <v>In Progress</v>
      </c>
      <c r="Z341" t="b">
        <v>1</v>
      </c>
    </row>
    <row r="342" spans="1:26" x14ac:dyDescent="0.3">
      <c r="A342" s="5">
        <f t="shared" si="19"/>
        <v>341</v>
      </c>
      <c r="B342" s="7" t="s">
        <v>118</v>
      </c>
      <c r="C342" s="7" t="s">
        <v>240</v>
      </c>
      <c r="D342" s="6">
        <v>27</v>
      </c>
      <c r="E342" s="6" t="s">
        <v>21</v>
      </c>
      <c r="F342" s="6" t="s">
        <v>15</v>
      </c>
      <c r="G342" s="6">
        <v>5500</v>
      </c>
      <c r="H342" s="6">
        <v>59000</v>
      </c>
      <c r="I342" s="6" t="s">
        <v>16</v>
      </c>
      <c r="J342" s="6">
        <v>8000</v>
      </c>
      <c r="K342" s="6">
        <v>700</v>
      </c>
      <c r="L342" s="6" t="s">
        <v>28</v>
      </c>
      <c r="M342" s="6" t="s">
        <v>82</v>
      </c>
      <c r="N342" s="6" t="s">
        <v>25</v>
      </c>
      <c r="O342" s="5">
        <v>10</v>
      </c>
      <c r="P342">
        <v>7.375</v>
      </c>
      <c r="Q342" t="b">
        <v>1</v>
      </c>
      <c r="R342" s="5" t="str">
        <v>Odd</v>
      </c>
      <c r="S342">
        <f t="shared" si="20"/>
        <v>4</v>
      </c>
      <c r="T342" t="str">
        <v/>
      </c>
      <c r="U342" t="str">
        <v>Bad</v>
      </c>
      <c r="V342" t="b">
        <v>0</v>
      </c>
      <c r="W342" t="str" cm="1">
        <f t="array" ref="W342">IF(AND(D342:D690&gt;40, K342:K690&lt;300, H342:H690&lt;8000), "Not Eligible", "Eligible")</f>
        <v>Eligible</v>
      </c>
      <c r="X342" t="str">
        <f t="shared" si="21"/>
        <v>Bad</v>
      </c>
      <c r="Y342" t="str">
        <f t="shared" si="22"/>
        <v/>
      </c>
      <c r="Z342" t="b">
        <v>0</v>
      </c>
    </row>
    <row r="343" spans="1:26" x14ac:dyDescent="0.3">
      <c r="A343" s="5">
        <f t="shared" si="19"/>
        <v>342</v>
      </c>
      <c r="B343" s="7" t="s">
        <v>219</v>
      </c>
      <c r="C343" s="7" t="s">
        <v>198</v>
      </c>
      <c r="D343" s="6">
        <v>31</v>
      </c>
      <c r="E343" s="6" t="s">
        <v>14</v>
      </c>
      <c r="F343" s="6" t="s">
        <v>22</v>
      </c>
      <c r="G343" s="6">
        <v>9000</v>
      </c>
      <c r="H343" s="6">
        <v>73000</v>
      </c>
      <c r="I343" s="6" t="s">
        <v>23</v>
      </c>
      <c r="J343" s="6">
        <v>0</v>
      </c>
      <c r="K343" s="6">
        <v>720</v>
      </c>
      <c r="L343" s="6" t="s">
        <v>31</v>
      </c>
      <c r="M343" s="6" t="s">
        <v>82</v>
      </c>
      <c r="N343" s="6" t="s">
        <v>18</v>
      </c>
      <c r="O343" s="5">
        <v>10</v>
      </c>
      <c r="P343" t="e">
        <v>#DIV/0!</v>
      </c>
      <c r="Q343" t="b">
        <v>0</v>
      </c>
      <c r="R343" s="5" t="str">
        <v>Odd</v>
      </c>
      <c r="S343">
        <f t="shared" si="20"/>
        <v>1</v>
      </c>
      <c r="T343" t="str">
        <v>Good</v>
      </c>
      <c r="U343" t="str">
        <v/>
      </c>
      <c r="V343" t="b">
        <v>0</v>
      </c>
      <c r="W343" t="str" cm="1">
        <f t="array" ref="W343">IF(AND(D343:D691&gt;40, K343:K691&lt;300, H343:H691&lt;8000), "Not Eligible", "Eligible")</f>
        <v>Eligible</v>
      </c>
      <c r="X343" t="str">
        <f t="shared" si="21"/>
        <v>Good</v>
      </c>
      <c r="Y343" t="str">
        <f t="shared" si="22"/>
        <v>In Progress</v>
      </c>
      <c r="Z343" t="b">
        <v>1</v>
      </c>
    </row>
    <row r="344" spans="1:26" x14ac:dyDescent="0.3">
      <c r="A344" s="5">
        <f t="shared" si="19"/>
        <v>343</v>
      </c>
      <c r="B344" s="7" t="s">
        <v>135</v>
      </c>
      <c r="C344" s="7" t="s">
        <v>182</v>
      </c>
      <c r="D344" s="6">
        <v>53</v>
      </c>
      <c r="E344" s="6" t="s">
        <v>21</v>
      </c>
      <c r="F344" s="6" t="s">
        <v>15</v>
      </c>
      <c r="G344" s="6">
        <v>4000</v>
      </c>
      <c r="H344" s="6">
        <v>65000</v>
      </c>
      <c r="I344" s="6" t="s">
        <v>16</v>
      </c>
      <c r="J344" s="6">
        <v>5000</v>
      </c>
      <c r="K344" s="6">
        <v>680</v>
      </c>
      <c r="L344" s="6" t="s">
        <v>17</v>
      </c>
      <c r="M344" s="6" t="s">
        <v>82</v>
      </c>
      <c r="N344" s="6" t="s">
        <v>25</v>
      </c>
      <c r="O344" s="5">
        <v>7</v>
      </c>
      <c r="P344">
        <v>13</v>
      </c>
      <c r="Q344" t="b">
        <v>1</v>
      </c>
      <c r="R344" s="5" t="str">
        <v>Odd</v>
      </c>
      <c r="S344">
        <f t="shared" si="20"/>
        <v>5</v>
      </c>
      <c r="T344" t="str">
        <v/>
      </c>
      <c r="U344" t="str">
        <v>Bad</v>
      </c>
      <c r="V344" t="b">
        <v>0</v>
      </c>
      <c r="W344" t="str" cm="1">
        <f t="array" ref="W344">IF(AND(D344:D692&gt;40, K344:K692&lt;300, H344:H692&lt;8000), "Not Eligible", "Eligible")</f>
        <v>Eligible</v>
      </c>
      <c r="X344" t="str">
        <f t="shared" si="21"/>
        <v>Bad</v>
      </c>
      <c r="Y344" t="str">
        <f t="shared" si="22"/>
        <v/>
      </c>
      <c r="Z344" t="b">
        <v>0</v>
      </c>
    </row>
    <row r="345" spans="1:26" x14ac:dyDescent="0.3">
      <c r="A345" s="5">
        <f t="shared" si="19"/>
        <v>344</v>
      </c>
      <c r="B345" s="7" t="s">
        <v>139</v>
      </c>
      <c r="C345" s="7" t="s">
        <v>41</v>
      </c>
      <c r="D345" s="6">
        <v>28</v>
      </c>
      <c r="E345" s="6" t="s">
        <v>14</v>
      </c>
      <c r="F345" s="6" t="s">
        <v>22</v>
      </c>
      <c r="G345" s="6">
        <v>8000</v>
      </c>
      <c r="H345" s="6">
        <v>60000</v>
      </c>
      <c r="I345" s="6" t="s">
        <v>23</v>
      </c>
      <c r="J345" s="6">
        <v>0</v>
      </c>
      <c r="K345" s="6">
        <v>710</v>
      </c>
      <c r="L345" s="6" t="s">
        <v>24</v>
      </c>
      <c r="M345" s="6" t="s">
        <v>82</v>
      </c>
      <c r="N345" s="6" t="s">
        <v>18</v>
      </c>
      <c r="O345" s="5">
        <v>5</v>
      </c>
      <c r="P345" t="e">
        <v>#DIV/0!</v>
      </c>
      <c r="Q345" t="b">
        <v>0</v>
      </c>
      <c r="R345" s="5" t="str">
        <v>Even</v>
      </c>
      <c r="S345">
        <f t="shared" si="20"/>
        <v>2</v>
      </c>
      <c r="T345" t="str">
        <v>Good</v>
      </c>
      <c r="U345" t="str">
        <v/>
      </c>
      <c r="V345" t="b">
        <v>0</v>
      </c>
      <c r="W345" t="str" cm="1">
        <f t="array" ref="W345">IF(AND(D345:D693&gt;40, K345:K693&lt;300, H345:H693&lt;8000), "Not Eligible", "Eligible")</f>
        <v>Eligible</v>
      </c>
      <c r="X345" t="str">
        <f t="shared" si="21"/>
        <v>Good</v>
      </c>
      <c r="Y345" t="str">
        <f t="shared" si="22"/>
        <v>In Progress</v>
      </c>
      <c r="Z345" t="b">
        <v>1</v>
      </c>
    </row>
    <row r="346" spans="1:26" x14ac:dyDescent="0.3">
      <c r="A346" s="5">
        <f t="shared" si="19"/>
        <v>345</v>
      </c>
      <c r="B346" s="7" t="s">
        <v>36</v>
      </c>
      <c r="C346" s="7" t="s">
        <v>315</v>
      </c>
      <c r="D346" s="6">
        <v>46</v>
      </c>
      <c r="E346" s="6" t="s">
        <v>21</v>
      </c>
      <c r="F346" s="6" t="s">
        <v>15</v>
      </c>
      <c r="G346" s="6">
        <v>2500</v>
      </c>
      <c r="H346" s="6">
        <v>53000</v>
      </c>
      <c r="I346" s="6" t="s">
        <v>16</v>
      </c>
      <c r="J346" s="6">
        <v>8000</v>
      </c>
      <c r="K346" s="6">
        <v>690</v>
      </c>
      <c r="L346" s="6" t="s">
        <v>28</v>
      </c>
      <c r="M346" s="6" t="s">
        <v>81</v>
      </c>
      <c r="N346" s="6" t="s">
        <v>25</v>
      </c>
      <c r="O346" s="5">
        <v>15</v>
      </c>
      <c r="P346">
        <v>6.625</v>
      </c>
      <c r="Q346" t="b">
        <v>1</v>
      </c>
      <c r="R346" s="5" t="str">
        <v>Even</v>
      </c>
      <c r="S346">
        <f t="shared" si="20"/>
        <v>3</v>
      </c>
      <c r="T346" t="str">
        <v/>
      </c>
      <c r="U346" t="str">
        <v>Bad</v>
      </c>
      <c r="V346" t="b">
        <v>0</v>
      </c>
      <c r="W346" t="str" cm="1">
        <f t="array" ref="W346">IF(AND(D346:D694&gt;40, K346:K694&lt;300, H346:H694&lt;8000), "Not Eligible", "Eligible")</f>
        <v>Eligible</v>
      </c>
      <c r="X346" t="str">
        <f t="shared" si="21"/>
        <v>Bad</v>
      </c>
      <c r="Y346" t="str">
        <f t="shared" si="22"/>
        <v/>
      </c>
      <c r="Z346" t="b">
        <v>0</v>
      </c>
    </row>
    <row r="347" spans="1:26" x14ac:dyDescent="0.3">
      <c r="A347" s="5">
        <f t="shared" si="19"/>
        <v>346</v>
      </c>
      <c r="B347" s="7" t="s">
        <v>290</v>
      </c>
      <c r="C347" s="7" t="s">
        <v>229</v>
      </c>
      <c r="D347" s="6">
        <v>39</v>
      </c>
      <c r="E347" s="6" t="s">
        <v>14</v>
      </c>
      <c r="F347" s="6" t="s">
        <v>22</v>
      </c>
      <c r="G347" s="6">
        <v>12000</v>
      </c>
      <c r="H347" s="6">
        <v>68000</v>
      </c>
      <c r="I347" s="6" t="s">
        <v>23</v>
      </c>
      <c r="J347" s="6">
        <v>0</v>
      </c>
      <c r="K347" s="6">
        <v>720</v>
      </c>
      <c r="L347" s="6" t="s">
        <v>31</v>
      </c>
      <c r="M347" s="6" t="s">
        <v>81</v>
      </c>
      <c r="N347" s="6" t="s">
        <v>18</v>
      </c>
      <c r="O347" s="5">
        <v>4</v>
      </c>
      <c r="P347" t="e">
        <v>#DIV/0!</v>
      </c>
      <c r="Q347" t="b">
        <v>0</v>
      </c>
      <c r="R347" s="5" t="str">
        <v>Odd</v>
      </c>
      <c r="S347">
        <f t="shared" si="20"/>
        <v>1</v>
      </c>
      <c r="T347" t="str">
        <v>Good</v>
      </c>
      <c r="U347" t="str">
        <v/>
      </c>
      <c r="V347" t="b">
        <v>0</v>
      </c>
      <c r="W347" t="str" cm="1">
        <f t="array" ref="W347">IF(AND(D347:D695&gt;40, K347:K695&lt;300, H347:H695&lt;8000), "Not Eligible", "Eligible")</f>
        <v>Eligible</v>
      </c>
      <c r="X347" t="str">
        <f t="shared" si="21"/>
        <v>Good</v>
      </c>
      <c r="Y347" t="str">
        <f t="shared" si="22"/>
        <v>In Progress</v>
      </c>
      <c r="Z347" t="b">
        <v>1</v>
      </c>
    </row>
    <row r="348" spans="1:26" x14ac:dyDescent="0.3">
      <c r="A348" s="5">
        <f t="shared" si="19"/>
        <v>347</v>
      </c>
      <c r="B348" s="7" t="s">
        <v>203</v>
      </c>
      <c r="C348" s="7" t="s">
        <v>63</v>
      </c>
      <c r="D348" s="6">
        <v>27</v>
      </c>
      <c r="E348" s="6" t="s">
        <v>21</v>
      </c>
      <c r="F348" s="6" t="s">
        <v>15</v>
      </c>
      <c r="G348" s="6">
        <v>7000</v>
      </c>
      <c r="H348" s="6">
        <v>71000</v>
      </c>
      <c r="I348" s="6" t="s">
        <v>16</v>
      </c>
      <c r="J348" s="6">
        <v>12000</v>
      </c>
      <c r="K348" s="6">
        <v>680</v>
      </c>
      <c r="L348" s="6" t="s">
        <v>17</v>
      </c>
      <c r="M348" s="6" t="s">
        <v>81</v>
      </c>
      <c r="N348" s="6" t="s">
        <v>25</v>
      </c>
      <c r="O348" s="5">
        <v>15</v>
      </c>
      <c r="P348">
        <v>5.916666666666667</v>
      </c>
      <c r="Q348" t="b">
        <v>1</v>
      </c>
      <c r="R348" s="5" t="str">
        <v>Odd</v>
      </c>
      <c r="S348">
        <f t="shared" si="20"/>
        <v>2</v>
      </c>
      <c r="T348" t="str">
        <v/>
      </c>
      <c r="U348" t="str">
        <v>Bad</v>
      </c>
      <c r="V348" t="b">
        <v>0</v>
      </c>
      <c r="W348" t="str" cm="1">
        <f t="array" ref="W348">IF(AND(D348:D696&gt;40, K348:K696&lt;300, H348:H696&lt;8000), "Not Eligible", "Eligible")</f>
        <v>Eligible</v>
      </c>
      <c r="X348" t="str">
        <f t="shared" si="21"/>
        <v>Bad</v>
      </c>
      <c r="Y348" t="str">
        <f t="shared" si="22"/>
        <v/>
      </c>
      <c r="Z348" t="b">
        <v>0</v>
      </c>
    </row>
    <row r="349" spans="1:26" x14ac:dyDescent="0.3">
      <c r="A349" s="5">
        <f t="shared" si="19"/>
        <v>348</v>
      </c>
      <c r="B349" s="7" t="s">
        <v>316</v>
      </c>
      <c r="C349" s="7" t="s">
        <v>168</v>
      </c>
      <c r="D349" s="6">
        <v>34</v>
      </c>
      <c r="E349" s="6" t="s">
        <v>14</v>
      </c>
      <c r="F349" s="6" t="s">
        <v>22</v>
      </c>
      <c r="G349" s="6">
        <v>5000</v>
      </c>
      <c r="H349" s="6">
        <v>56000</v>
      </c>
      <c r="I349" s="6" t="s">
        <v>23</v>
      </c>
      <c r="J349" s="6">
        <v>0</v>
      </c>
      <c r="K349" s="6">
        <v>700</v>
      </c>
      <c r="L349" s="6" t="s">
        <v>24</v>
      </c>
      <c r="M349" s="6" t="s">
        <v>81</v>
      </c>
      <c r="N349" s="6" t="s">
        <v>18</v>
      </c>
      <c r="O349" s="5">
        <v>3</v>
      </c>
      <c r="P349" t="e">
        <v>#DIV/0!</v>
      </c>
      <c r="Q349" t="b">
        <v>0</v>
      </c>
      <c r="R349" s="5" t="str">
        <v>Even</v>
      </c>
      <c r="S349">
        <f t="shared" si="20"/>
        <v>1</v>
      </c>
      <c r="T349" t="str">
        <v>Good</v>
      </c>
      <c r="U349" t="str">
        <v/>
      </c>
      <c r="V349" t="b">
        <v>0</v>
      </c>
      <c r="W349" t="str" cm="1">
        <f t="array" ref="W349">IF(AND(D349:D697&gt;40, K349:K697&lt;300, H349:H697&lt;8000), "Not Eligible", "Eligible")</f>
        <v>Eligible</v>
      </c>
      <c r="X349" t="str">
        <f t="shared" si="21"/>
        <v>Good</v>
      </c>
      <c r="Y349" t="str">
        <f t="shared" si="22"/>
        <v>In Progress</v>
      </c>
      <c r="Z349" t="b">
        <v>1</v>
      </c>
    </row>
    <row r="350" spans="1:26" x14ac:dyDescent="0.3">
      <c r="A350" s="5">
        <f t="shared" si="19"/>
        <v>349</v>
      </c>
      <c r="B350" s="7" t="s">
        <v>317</v>
      </c>
      <c r="C350" s="7" t="s">
        <v>194</v>
      </c>
      <c r="D350" s="6">
        <v>32</v>
      </c>
      <c r="E350" s="6" t="s">
        <v>21</v>
      </c>
      <c r="F350" s="6" t="s">
        <v>15</v>
      </c>
      <c r="G350" s="6">
        <v>1500</v>
      </c>
      <c r="H350" s="6">
        <v>45000</v>
      </c>
      <c r="I350" s="6" t="s">
        <v>16</v>
      </c>
      <c r="J350" s="6">
        <v>0</v>
      </c>
      <c r="K350" s="6">
        <v>670</v>
      </c>
      <c r="L350" s="6" t="s">
        <v>28</v>
      </c>
      <c r="M350" s="6" t="s">
        <v>81</v>
      </c>
      <c r="N350" s="6" t="s">
        <v>25</v>
      </c>
      <c r="O350" s="5">
        <v>14</v>
      </c>
      <c r="P350" t="e">
        <v>#DIV/0!</v>
      </c>
      <c r="Q350" t="b">
        <v>0</v>
      </c>
      <c r="R350" s="5" t="str">
        <v>Even</v>
      </c>
      <c r="S350">
        <f t="shared" si="20"/>
        <v>1</v>
      </c>
      <c r="T350" t="str">
        <v/>
      </c>
      <c r="U350" t="str">
        <v>Bad</v>
      </c>
      <c r="V350" t="b">
        <v>0</v>
      </c>
      <c r="W350" t="str" cm="1">
        <f t="array" ref="W350">IF(AND(D350:D698&gt;40, K350:K698&lt;300, H350:H698&lt;8000), "Not Eligible", "Eligible")</f>
        <v>Eligible</v>
      </c>
      <c r="X350" t="str">
        <f t="shared" si="21"/>
        <v>Bad</v>
      </c>
      <c r="Y350" t="str">
        <f t="shared" si="22"/>
        <v/>
      </c>
      <c r="Z350" t="b">
        <v>1</v>
      </c>
    </row>
    <row r="351" spans="1:26" x14ac:dyDescent="0.3">
      <c r="N351"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F9292-148F-4A11-A8E3-5426E2D959FE}">
  <dimension ref="A1:Z53"/>
  <sheetViews>
    <sheetView topLeftCell="A30" zoomScaleNormal="100" workbookViewId="0">
      <selection activeCell="C56" sqref="C56"/>
    </sheetView>
  </sheetViews>
  <sheetFormatPr defaultRowHeight="14.4" x14ac:dyDescent="0.3"/>
  <cols>
    <col min="2" max="2" width="5.21875" style="5" customWidth="1"/>
    <col min="3" max="3" width="190.21875" bestFit="1" customWidth="1"/>
  </cols>
  <sheetData>
    <row r="1" spans="1:26" s="9" customFormat="1" ht="21" x14ac:dyDescent="0.4">
      <c r="B1" s="16" t="s">
        <v>345</v>
      </c>
      <c r="C1" s="16"/>
      <c r="D1" s="8"/>
      <c r="E1" s="8"/>
      <c r="F1" s="8"/>
      <c r="G1" s="8"/>
      <c r="H1" s="8"/>
      <c r="I1" s="8"/>
      <c r="J1" s="8"/>
      <c r="K1" s="8"/>
      <c r="L1" s="8"/>
      <c r="M1" s="8"/>
      <c r="N1" s="8"/>
      <c r="O1" s="8"/>
      <c r="P1" s="8"/>
      <c r="Q1" s="8"/>
      <c r="R1" s="8"/>
      <c r="S1" s="8"/>
      <c r="T1" s="8"/>
    </row>
    <row r="2" spans="1:26" ht="13.8" customHeight="1" x14ac:dyDescent="0.3">
      <c r="A2" s="10"/>
      <c r="B2" s="12"/>
      <c r="C2" s="11"/>
      <c r="D2" s="11"/>
      <c r="E2" s="11"/>
      <c r="F2" s="11"/>
      <c r="G2" s="11"/>
      <c r="H2" s="11"/>
      <c r="I2" s="11"/>
      <c r="J2" s="11"/>
      <c r="K2" s="11"/>
      <c r="L2" s="11"/>
      <c r="M2" s="11"/>
      <c r="N2" s="11"/>
      <c r="O2" s="11"/>
      <c r="P2" s="11"/>
      <c r="Q2" s="11"/>
      <c r="R2" s="11"/>
      <c r="S2" s="11"/>
      <c r="T2" s="11"/>
      <c r="U2" s="11"/>
      <c r="V2" s="11"/>
      <c r="W2" s="11"/>
      <c r="X2" s="11"/>
      <c r="Y2" s="11"/>
    </row>
    <row r="3" spans="1:26" x14ac:dyDescent="0.3">
      <c r="C3" t="s">
        <v>346</v>
      </c>
      <c r="D3" s="11"/>
      <c r="E3" s="11"/>
      <c r="F3" s="11"/>
      <c r="G3" s="11"/>
      <c r="H3" s="11"/>
      <c r="I3" s="11"/>
      <c r="J3" s="11"/>
      <c r="K3" s="11"/>
      <c r="L3" s="11"/>
      <c r="M3" s="11"/>
      <c r="N3" s="11"/>
      <c r="O3" s="11"/>
      <c r="P3" s="11"/>
      <c r="Q3" s="11"/>
      <c r="R3" s="11"/>
      <c r="S3" s="11"/>
      <c r="T3" s="11"/>
      <c r="U3" s="11"/>
      <c r="V3" s="11"/>
      <c r="W3" s="11"/>
      <c r="X3" s="11"/>
      <c r="Y3" s="11"/>
    </row>
    <row r="4" spans="1:26" x14ac:dyDescent="0.3">
      <c r="C4" t="s">
        <v>347</v>
      </c>
      <c r="D4" s="11"/>
      <c r="E4" s="11"/>
      <c r="F4" s="11"/>
      <c r="G4" s="11"/>
      <c r="H4" s="11"/>
      <c r="I4" s="11"/>
      <c r="J4" s="11"/>
      <c r="K4" s="11"/>
      <c r="L4" s="11"/>
      <c r="M4" s="11"/>
      <c r="N4" s="11"/>
      <c r="O4" s="11"/>
      <c r="P4" s="11"/>
      <c r="Q4" s="11"/>
      <c r="R4" s="11"/>
      <c r="S4" s="11"/>
      <c r="T4" s="11"/>
      <c r="U4" s="11"/>
      <c r="V4" s="11"/>
      <c r="W4" s="11"/>
      <c r="X4" s="11"/>
      <c r="Y4" s="11"/>
      <c r="Z4" s="11"/>
    </row>
    <row r="5" spans="1:26" x14ac:dyDescent="0.3">
      <c r="C5" t="s">
        <v>348</v>
      </c>
      <c r="D5" s="11"/>
      <c r="E5" s="11"/>
      <c r="F5" s="11"/>
      <c r="G5" s="11"/>
      <c r="H5" s="11"/>
      <c r="I5" s="11"/>
      <c r="J5" s="11"/>
      <c r="K5" s="11"/>
      <c r="L5" s="11"/>
      <c r="M5" s="11"/>
      <c r="N5" s="11"/>
      <c r="O5" s="11"/>
      <c r="P5" s="11"/>
      <c r="Q5" s="11"/>
      <c r="R5" s="11"/>
      <c r="S5" s="11"/>
      <c r="T5" s="11"/>
      <c r="U5" s="11"/>
      <c r="V5" s="11"/>
      <c r="W5" s="11"/>
      <c r="X5" s="11"/>
      <c r="Y5" s="11"/>
    </row>
    <row r="7" spans="1:26" ht="25.8" x14ac:dyDescent="0.5">
      <c r="C7" s="2" t="s">
        <v>100</v>
      </c>
    </row>
    <row r="9" spans="1:26" x14ac:dyDescent="0.3">
      <c r="B9" s="5" t="s">
        <v>83</v>
      </c>
      <c r="C9" t="s">
        <v>320</v>
      </c>
    </row>
    <row r="10" spans="1:26" x14ac:dyDescent="0.3">
      <c r="B10" s="5" t="s">
        <v>84</v>
      </c>
      <c r="C10" t="s">
        <v>321</v>
      </c>
    </row>
    <row r="11" spans="1:26" x14ac:dyDescent="0.3">
      <c r="B11" s="5" t="s">
        <v>85</v>
      </c>
      <c r="C11" t="s">
        <v>322</v>
      </c>
    </row>
    <row r="12" spans="1:26" x14ac:dyDescent="0.3">
      <c r="B12" s="5" t="s">
        <v>86</v>
      </c>
      <c r="C12" t="s">
        <v>323</v>
      </c>
    </row>
    <row r="13" spans="1:26" x14ac:dyDescent="0.3">
      <c r="B13" s="5" t="s">
        <v>87</v>
      </c>
      <c r="C13" t="s">
        <v>324</v>
      </c>
    </row>
    <row r="14" spans="1:26" x14ac:dyDescent="0.3">
      <c r="B14" s="5" t="s">
        <v>88</v>
      </c>
      <c r="C14" t="s">
        <v>325</v>
      </c>
    </row>
    <row r="15" spans="1:26" x14ac:dyDescent="0.3">
      <c r="B15" s="5" t="s">
        <v>89</v>
      </c>
      <c r="C15" t="s">
        <v>326</v>
      </c>
    </row>
    <row r="16" spans="1:26" x14ac:dyDescent="0.3">
      <c r="B16" s="5" t="s">
        <v>90</v>
      </c>
      <c r="C16" t="s">
        <v>327</v>
      </c>
    </row>
    <row r="17" spans="2:3" x14ac:dyDescent="0.3">
      <c r="B17" s="5" t="s">
        <v>91</v>
      </c>
      <c r="C17" t="s">
        <v>328</v>
      </c>
    </row>
    <row r="18" spans="2:3" x14ac:dyDescent="0.3">
      <c r="B18" s="5" t="s">
        <v>92</v>
      </c>
      <c r="C18" t="s">
        <v>329</v>
      </c>
    </row>
    <row r="19" spans="2:3" x14ac:dyDescent="0.3">
      <c r="B19" s="5" t="s">
        <v>93</v>
      </c>
      <c r="C19" t="s">
        <v>330</v>
      </c>
    </row>
    <row r="20" spans="2:3" x14ac:dyDescent="0.3">
      <c r="B20" s="5" t="s">
        <v>94</v>
      </c>
      <c r="C20" t="s">
        <v>331</v>
      </c>
    </row>
    <row r="21" spans="2:3" x14ac:dyDescent="0.3">
      <c r="B21" s="5" t="s">
        <v>95</v>
      </c>
      <c r="C21" t="s">
        <v>332</v>
      </c>
    </row>
    <row r="24" spans="2:3" ht="23.4" x14ac:dyDescent="0.45">
      <c r="C24" s="3" t="s">
        <v>101</v>
      </c>
    </row>
    <row r="25" spans="2:3" x14ac:dyDescent="0.3">
      <c r="B25" s="5" t="s">
        <v>83</v>
      </c>
      <c r="C25" t="s">
        <v>333</v>
      </c>
    </row>
    <row r="26" spans="2:3" x14ac:dyDescent="0.3">
      <c r="B26" s="5" t="s">
        <v>84</v>
      </c>
      <c r="C26" t="s">
        <v>334</v>
      </c>
    </row>
    <row r="27" spans="2:3" x14ac:dyDescent="0.3">
      <c r="B27" s="5" t="s">
        <v>85</v>
      </c>
      <c r="C27" t="s">
        <v>335</v>
      </c>
    </row>
    <row r="28" spans="2:3" x14ac:dyDescent="0.3">
      <c r="B28" s="5" t="s">
        <v>86</v>
      </c>
      <c r="C28" t="s">
        <v>336</v>
      </c>
    </row>
    <row r="29" spans="2:3" x14ac:dyDescent="0.3">
      <c r="B29" s="5" t="s">
        <v>87</v>
      </c>
      <c r="C29" t="s">
        <v>337</v>
      </c>
    </row>
    <row r="30" spans="2:3" x14ac:dyDescent="0.3">
      <c r="B30" s="5" t="s">
        <v>88</v>
      </c>
      <c r="C30" t="s">
        <v>338</v>
      </c>
    </row>
    <row r="31" spans="2:3" x14ac:dyDescent="0.3">
      <c r="B31" s="5" t="s">
        <v>89</v>
      </c>
      <c r="C31" t="s">
        <v>99</v>
      </c>
    </row>
    <row r="32" spans="2:3" x14ac:dyDescent="0.3">
      <c r="B32" s="5" t="s">
        <v>90</v>
      </c>
      <c r="C32" t="s">
        <v>339</v>
      </c>
    </row>
    <row r="33" spans="2:3" x14ac:dyDescent="0.3">
      <c r="B33" s="5" t="s">
        <v>91</v>
      </c>
      <c r="C33" t="s">
        <v>340</v>
      </c>
    </row>
    <row r="34" spans="2:3" x14ac:dyDescent="0.3">
      <c r="B34" s="5" t="s">
        <v>92</v>
      </c>
      <c r="C34" t="s">
        <v>341</v>
      </c>
    </row>
    <row r="35" spans="2:3" x14ac:dyDescent="0.3">
      <c r="B35" s="5" t="s">
        <v>93</v>
      </c>
      <c r="C35" t="s">
        <v>342</v>
      </c>
    </row>
    <row r="36" spans="2:3" x14ac:dyDescent="0.3">
      <c r="B36" s="5" t="s">
        <v>94</v>
      </c>
      <c r="C36" t="s">
        <v>343</v>
      </c>
    </row>
    <row r="37" spans="2:3" x14ac:dyDescent="0.3">
      <c r="B37" s="5" t="s">
        <v>95</v>
      </c>
      <c r="C37" t="s">
        <v>344</v>
      </c>
    </row>
    <row r="39" spans="2:3" ht="23.4" x14ac:dyDescent="0.45">
      <c r="C39" s="3" t="s">
        <v>102</v>
      </c>
    </row>
    <row r="40" spans="2:3" x14ac:dyDescent="0.3">
      <c r="B40" s="5" t="s">
        <v>83</v>
      </c>
      <c r="C40" s="4" t="s">
        <v>103</v>
      </c>
    </row>
    <row r="41" spans="2:3" x14ac:dyDescent="0.3">
      <c r="B41" s="5" t="s">
        <v>84</v>
      </c>
      <c r="C41" s="4" t="s">
        <v>104</v>
      </c>
    </row>
    <row r="42" spans="2:3" x14ac:dyDescent="0.3">
      <c r="B42" s="5" t="s">
        <v>85</v>
      </c>
      <c r="C42" s="4" t="s">
        <v>105</v>
      </c>
    </row>
    <row r="43" spans="2:3" x14ac:dyDescent="0.3">
      <c r="B43" s="5" t="s">
        <v>86</v>
      </c>
      <c r="C43" s="4" t="s">
        <v>106</v>
      </c>
    </row>
    <row r="44" spans="2:3" x14ac:dyDescent="0.3">
      <c r="B44" s="5" t="s">
        <v>87</v>
      </c>
      <c r="C44" s="4" t="s">
        <v>107</v>
      </c>
    </row>
    <row r="45" spans="2:3" x14ac:dyDescent="0.3">
      <c r="B45" s="5" t="s">
        <v>88</v>
      </c>
      <c r="C45" s="4" t="s">
        <v>108</v>
      </c>
    </row>
    <row r="46" spans="2:3" x14ac:dyDescent="0.3">
      <c r="B46" s="5" t="s">
        <v>89</v>
      </c>
      <c r="C46" s="4" t="s">
        <v>109</v>
      </c>
    </row>
    <row r="47" spans="2:3" x14ac:dyDescent="0.3">
      <c r="B47" s="5" t="s">
        <v>90</v>
      </c>
      <c r="C47" s="4" t="s">
        <v>110</v>
      </c>
    </row>
    <row r="48" spans="2:3" x14ac:dyDescent="0.3">
      <c r="B48" s="5" t="s">
        <v>91</v>
      </c>
      <c r="C48" s="4" t="s">
        <v>111</v>
      </c>
    </row>
    <row r="49" spans="2:3" x14ac:dyDescent="0.3">
      <c r="B49" s="5" t="s">
        <v>92</v>
      </c>
      <c r="C49" s="4" t="s">
        <v>112</v>
      </c>
    </row>
    <row r="50" spans="2:3" x14ac:dyDescent="0.3">
      <c r="B50" s="5" t="s">
        <v>93</v>
      </c>
      <c r="C50" s="4" t="s">
        <v>113</v>
      </c>
    </row>
    <row r="51" spans="2:3" x14ac:dyDescent="0.3">
      <c r="B51" s="5" t="s">
        <v>94</v>
      </c>
      <c r="C51" s="4" t="s">
        <v>114</v>
      </c>
    </row>
    <row r="52" spans="2:3" x14ac:dyDescent="0.3">
      <c r="B52" s="5" t="s">
        <v>95</v>
      </c>
      <c r="C52" s="4" t="s">
        <v>115</v>
      </c>
    </row>
    <row r="53" spans="2:3" x14ac:dyDescent="0.3">
      <c r="B53" s="5" t="s">
        <v>96</v>
      </c>
      <c r="C53" s="4" t="s">
        <v>116</v>
      </c>
    </row>
  </sheetData>
  <mergeCells count="1">
    <mergeCell ref="B1:C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497F8-3591-4392-AEB5-1022E370A446}">
  <dimension ref="A2:F31"/>
  <sheetViews>
    <sheetView workbookViewId="0">
      <selection activeCell="K25" sqref="K25"/>
    </sheetView>
  </sheetViews>
  <sheetFormatPr defaultRowHeight="14.4" x14ac:dyDescent="0.3"/>
  <cols>
    <col min="9" max="9" width="11" bestFit="1" customWidth="1"/>
  </cols>
  <sheetData>
    <row r="2" spans="1:2" x14ac:dyDescent="0.3">
      <c r="A2" t="s">
        <v>349</v>
      </c>
      <c r="B2">
        <f>AVERAGE(Dataset!H2:H350)</f>
        <v>60260.744985673351</v>
      </c>
    </row>
    <row r="4" spans="1:2" x14ac:dyDescent="0.3">
      <c r="A4" t="s">
        <v>350</v>
      </c>
      <c r="B4">
        <f>MEDIAN(Dataset!G2:G350)</f>
        <v>5500</v>
      </c>
    </row>
    <row r="6" spans="1:2" x14ac:dyDescent="0.3">
      <c r="A6" t="s">
        <v>351</v>
      </c>
      <c r="B6">
        <f>SMALL(_xlfn.UNIQUE(Dataset!J2:J350),5)</f>
        <v>8000</v>
      </c>
    </row>
    <row r="8" spans="1:2" x14ac:dyDescent="0.3">
      <c r="A8" t="s">
        <v>352</v>
      </c>
      <c r="B8">
        <f>LARGE(_xlfn.UNIQUE(Dataset!K2:K350),3)</f>
        <v>730</v>
      </c>
    </row>
    <row r="10" spans="1:2" x14ac:dyDescent="0.3">
      <c r="A10" t="s">
        <v>353</v>
      </c>
      <c r="B10" cm="1">
        <f t="array" ref="B10">_xlfn.MODE.MULT(Dataset!K2:K350)</f>
        <v>720</v>
      </c>
    </row>
    <row r="12" spans="1:2" x14ac:dyDescent="0.3">
      <c r="A12" t="s">
        <v>354</v>
      </c>
      <c r="B12">
        <f>COUNTIFS(Dataset!E2:E350,Dataset!E324,Dataset!D2:D350,"&gt;30",Dataset!N2:N350,Dataset!N323,Dataset!M2:M350,"&lt;&gt;Dataset!M329")</f>
        <v>8</v>
      </c>
    </row>
    <row r="14" spans="1:2" x14ac:dyDescent="0.3">
      <c r="A14" t="s">
        <v>355</v>
      </c>
      <c r="B14" t="s">
        <v>357</v>
      </c>
    </row>
    <row r="16" spans="1:2" x14ac:dyDescent="0.3">
      <c r="A16" t="s">
        <v>358</v>
      </c>
      <c r="B16" t="s">
        <v>359</v>
      </c>
    </row>
    <row r="18" spans="1:6" x14ac:dyDescent="0.3">
      <c r="A18" t="s">
        <v>362</v>
      </c>
      <c r="B18" t="s">
        <v>363</v>
      </c>
    </row>
    <row r="20" spans="1:6" x14ac:dyDescent="0.3">
      <c r="A20" t="s">
        <v>364</v>
      </c>
      <c r="B20">
        <f>_xlfn.MINIFS(Dataset!G2:G350,Dataset!M2:M350,Dataset!M330)</f>
        <v>1500</v>
      </c>
    </row>
    <row r="22" spans="1:6" x14ac:dyDescent="0.3">
      <c r="A22" t="s">
        <v>365</v>
      </c>
      <c r="B22" t="s">
        <v>385</v>
      </c>
    </row>
    <row r="24" spans="1:6" x14ac:dyDescent="0.3">
      <c r="A24" t="s">
        <v>366</v>
      </c>
      <c r="B24" t="s">
        <v>367</v>
      </c>
      <c r="D24" t="s">
        <v>368</v>
      </c>
    </row>
    <row r="25" spans="1:6" x14ac:dyDescent="0.3">
      <c r="B25">
        <f>COUNT(Dataset!A2:A350)</f>
        <v>349</v>
      </c>
      <c r="D25">
        <f>MIN(Dataset!G2:G350)</f>
        <v>1500</v>
      </c>
    </row>
    <row r="27" spans="1:6" x14ac:dyDescent="0.3">
      <c r="A27" t="s">
        <v>369</v>
      </c>
      <c r="B27" s="17" t="s">
        <v>370</v>
      </c>
      <c r="C27" s="17"/>
      <c r="D27" s="17" t="s">
        <v>371</v>
      </c>
      <c r="E27" s="17"/>
      <c r="F27" s="17"/>
    </row>
    <row r="28" spans="1:6" x14ac:dyDescent="0.3">
      <c r="B28" s="17">
        <f>SUM(Dataset!H2:H350)</f>
        <v>21031000</v>
      </c>
      <c r="C28" s="17"/>
      <c r="D28" s="17">
        <f>SUM(Dataset!G2:G350)</f>
        <v>2146000</v>
      </c>
      <c r="E28" s="17"/>
      <c r="F28" s="17"/>
    </row>
    <row r="30" spans="1:6" x14ac:dyDescent="0.3">
      <c r="B30" s="17" t="s">
        <v>372</v>
      </c>
      <c r="C30" s="17"/>
      <c r="D30" s="17" t="s">
        <v>373</v>
      </c>
      <c r="E30" s="17"/>
      <c r="F30" s="17"/>
    </row>
    <row r="31" spans="1:6" x14ac:dyDescent="0.3">
      <c r="B31" s="17">
        <f>MAX(Dataset!H2:H350)</f>
        <v>85000</v>
      </c>
      <c r="C31" s="17"/>
      <c r="D31" s="17">
        <f>MAX(Dataset!G2:G350)</f>
        <v>15000</v>
      </c>
      <c r="E31" s="17"/>
      <c r="F31" s="17"/>
    </row>
  </sheetData>
  <mergeCells count="8">
    <mergeCell ref="B31:C31"/>
    <mergeCell ref="D31:F31"/>
    <mergeCell ref="B27:C27"/>
    <mergeCell ref="D27:F27"/>
    <mergeCell ref="B30:C30"/>
    <mergeCell ref="D30:F30"/>
    <mergeCell ref="B28:C28"/>
    <mergeCell ref="D28:F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B4466-F004-4A8A-A676-BED04C5221DC}">
  <dimension ref="A1:D36"/>
  <sheetViews>
    <sheetView topLeftCell="A19" workbookViewId="0">
      <selection activeCell="C26" sqref="C26"/>
    </sheetView>
  </sheetViews>
  <sheetFormatPr defaultRowHeight="15.6" x14ac:dyDescent="0.3"/>
  <cols>
    <col min="1" max="1" width="7.21875" style="14" bestFit="1" customWidth="1"/>
    <col min="2" max="2" width="37.44140625" style="13" bestFit="1" customWidth="1"/>
    <col min="3" max="3" width="30.33203125" style="13" bestFit="1" customWidth="1"/>
    <col min="4" max="4" width="32.109375" style="13" bestFit="1" customWidth="1"/>
    <col min="5" max="16384" width="8.88671875" style="13"/>
  </cols>
  <sheetData>
    <row r="1" spans="1:3" x14ac:dyDescent="0.3">
      <c r="B1" s="13" t="s">
        <v>375</v>
      </c>
      <c r="C1" s="13" t="s">
        <v>374</v>
      </c>
    </row>
    <row r="2" spans="1:3" x14ac:dyDescent="0.3">
      <c r="A2" s="14" t="s">
        <v>349</v>
      </c>
      <c r="B2" s="13">
        <f>COUNTIF(Dataset!N2:N350,Dataset!N327)</f>
        <v>182</v>
      </c>
      <c r="C2" s="13" cm="1">
        <f t="array" ref="C2">_xlfn.PERCENTILE.INC(IF(Dataset!N2:N350="Active",Dataset!H2:H350),0.5)</f>
        <v>60000</v>
      </c>
    </row>
    <row r="4" spans="1:3" x14ac:dyDescent="0.3">
      <c r="A4" s="14" t="s">
        <v>350</v>
      </c>
      <c r="B4" s="13" t="s">
        <v>376</v>
      </c>
      <c r="C4" s="13" t="s">
        <v>377</v>
      </c>
    </row>
    <row r="5" spans="1:3" x14ac:dyDescent="0.3">
      <c r="B5" s="13">
        <f>COUNTIF(Dataset!I2:I350,Dataset!I325)</f>
        <v>169</v>
      </c>
      <c r="C5" s="13">
        <f>MAX(Dataset!J2:J350)</f>
        <v>20000</v>
      </c>
    </row>
    <row r="7" spans="1:3" x14ac:dyDescent="0.3">
      <c r="A7" s="14" t="s">
        <v>351</v>
      </c>
    </row>
    <row r="8" spans="1:3" x14ac:dyDescent="0.3">
      <c r="B8" s="13" cm="1">
        <f t="array" ref="B8">SMALL(IF(Dataset!I2:I350="No",Dataset!G2:G350),3)</f>
        <v>1500</v>
      </c>
    </row>
    <row r="9" spans="1:3" x14ac:dyDescent="0.3">
      <c r="A9" s="14" t="s">
        <v>352</v>
      </c>
    </row>
    <row r="10" spans="1:3" x14ac:dyDescent="0.3">
      <c r="B10" s="13" cm="1">
        <f t="array" ref="B10">LARGE(_xlfn.UNIQUE(IF(Dataset!M2:M350=Dataset!M8,Dataset!G2:G350)),4)</f>
        <v>7000</v>
      </c>
    </row>
    <row r="12" spans="1:3" ht="16.2" x14ac:dyDescent="0.3">
      <c r="A12" s="14" t="s">
        <v>353</v>
      </c>
      <c r="B12" s="13" t="s">
        <v>378</v>
      </c>
      <c r="C12" s="13" t="s">
        <v>379</v>
      </c>
    </row>
    <row r="13" spans="1:3" x14ac:dyDescent="0.3">
      <c r="B13" s="13">
        <f>COUNTIF(Dataset!E2:E350,Dataset!E334)</f>
        <v>170</v>
      </c>
      <c r="C13" s="13" cm="1">
        <f t="array" ref="C13">SMALL(_xlfn.UNIQUE(IF(Dataset!E2:E350=Dataset!E332,Dataset!H2:H350)), 2)</f>
        <v>47000</v>
      </c>
    </row>
    <row r="15" spans="1:3" x14ac:dyDescent="0.3">
      <c r="A15" s="14" t="s">
        <v>354</v>
      </c>
      <c r="B15" s="13" t="s">
        <v>380</v>
      </c>
      <c r="C15" s="13" t="s">
        <v>381</v>
      </c>
    </row>
    <row r="16" spans="1:3" x14ac:dyDescent="0.3">
      <c r="B16" s="13" cm="1">
        <f t="array" ref="B16">_xlfn.MODE.MULT(Dataset!G2:G350)</f>
        <v>4000</v>
      </c>
      <c r="C16" s="13">
        <f>AVERAGE(Dataset!G2:G350)</f>
        <v>6148.997134670487</v>
      </c>
    </row>
    <row r="18" spans="1:4" x14ac:dyDescent="0.3">
      <c r="A18" s="14" t="s">
        <v>355</v>
      </c>
      <c r="B18" s="13" t="s">
        <v>382</v>
      </c>
      <c r="C18" s="13" t="s">
        <v>383</v>
      </c>
    </row>
    <row r="19" spans="1:4" x14ac:dyDescent="0.3">
      <c r="B19" s="13">
        <f>_xlfn.PERCENTILE.INC(Dataset!H2:H350,0.75)</f>
        <v>70000</v>
      </c>
      <c r="C19" s="13">
        <f>_xlfn.PERCENTILE.INC(Dataset!G2:G350,0.75)</f>
        <v>8000</v>
      </c>
    </row>
    <row r="21" spans="1:4" x14ac:dyDescent="0.3">
      <c r="A21" s="14" t="s">
        <v>358</v>
      </c>
      <c r="B21" s="13" t="s">
        <v>386</v>
      </c>
      <c r="C21" s="13" t="s">
        <v>389</v>
      </c>
      <c r="D21" s="13" t="s">
        <v>390</v>
      </c>
    </row>
    <row r="22" spans="1:4" x14ac:dyDescent="0.3">
      <c r="B22" s="13">
        <f>COUNTIF(Dataset!N2:N350,Dataset!N327)</f>
        <v>182</v>
      </c>
      <c r="C22" s="13">
        <f>COUNTIF(Dataset!N2:N350,Dataset!N341)</f>
        <v>182</v>
      </c>
      <c r="D22" s="13">
        <f>COUNTIF(Dataset!N2:N350,Dataset!N340)</f>
        <v>167</v>
      </c>
    </row>
    <row r="24" spans="1:4" x14ac:dyDescent="0.3">
      <c r="A24" s="14" t="s">
        <v>362</v>
      </c>
    </row>
    <row r="25" spans="1:4" x14ac:dyDescent="0.3">
      <c r="B25" s="13" t="s">
        <v>423</v>
      </c>
    </row>
    <row r="27" spans="1:4" x14ac:dyDescent="0.3">
      <c r="A27" s="14" t="s">
        <v>364</v>
      </c>
      <c r="B27" s="13" t="s">
        <v>392</v>
      </c>
    </row>
    <row r="29" spans="1:4" x14ac:dyDescent="0.3">
      <c r="A29" s="14" t="s">
        <v>365</v>
      </c>
      <c r="B29" s="13" t="s">
        <v>393</v>
      </c>
      <c r="C29" s="13" t="s">
        <v>394</v>
      </c>
    </row>
    <row r="30" spans="1:4" x14ac:dyDescent="0.3">
      <c r="B30" s="13">
        <f>SUM(Dataset!H2:H350)</f>
        <v>21031000</v>
      </c>
      <c r="C30" s="13" cm="1">
        <f t="array" ref="C30">_xlfn.PERCENTILE.INC(IF(MOD(Dataset!D2:D350,2)=1,Dataset!H2:H350), 0.4)</f>
        <v>55000</v>
      </c>
    </row>
    <row r="32" spans="1:4" x14ac:dyDescent="0.3">
      <c r="A32" s="14" t="s">
        <v>366</v>
      </c>
    </row>
    <row r="33" spans="1:4" x14ac:dyDescent="0.3">
      <c r="B33" s="13">
        <f>COUNTIFS(Dataset!G2:G350,"&gt;5000",Dataset!H2:H350,"&gt;7000")</f>
        <v>186</v>
      </c>
    </row>
    <row r="35" spans="1:4" x14ac:dyDescent="0.3">
      <c r="A35" s="14" t="s">
        <v>369</v>
      </c>
      <c r="B35" s="13" t="s">
        <v>395</v>
      </c>
      <c r="C35" s="13" t="s">
        <v>396</v>
      </c>
      <c r="D35" s="13" t="s">
        <v>397</v>
      </c>
    </row>
    <row r="36" spans="1:4" x14ac:dyDescent="0.3">
      <c r="B36" s="13">
        <f>COUNTIF(Dataset!L2:L350,Dataset!L339)</f>
        <v>86</v>
      </c>
      <c r="C36" s="13">
        <f>SUMIF(Dataset!L2:L350,Dataset!L327,Dataset!H2:H350)</f>
        <v>5203000</v>
      </c>
      <c r="D36" s="13">
        <f>_xlfn.MAXIFS(Dataset!H2:H350,Dataset!L2:L350,Dataset!L331)</f>
        <v>74000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656A6-388F-4B58-B374-88BFFBE64CD8}">
  <dimension ref="A2:E45"/>
  <sheetViews>
    <sheetView tabSelected="1" topLeftCell="A5" workbookViewId="0">
      <selection activeCell="B14" sqref="B14"/>
    </sheetView>
  </sheetViews>
  <sheetFormatPr defaultColWidth="2.44140625" defaultRowHeight="15.6" x14ac:dyDescent="0.3"/>
  <cols>
    <col min="1" max="1" width="7.21875" style="14" bestFit="1" customWidth="1"/>
    <col min="2" max="2" width="31.77734375" style="13" bestFit="1" customWidth="1"/>
    <col min="3" max="3" width="29.5546875" style="13" bestFit="1" customWidth="1"/>
    <col min="4" max="4" width="27.6640625" style="13" bestFit="1" customWidth="1"/>
    <col min="5" max="6" width="9.33203125" style="13" bestFit="1" customWidth="1"/>
    <col min="7" max="16384" width="2.44140625" style="13"/>
  </cols>
  <sheetData>
    <row r="2" spans="1:4" x14ac:dyDescent="0.3">
      <c r="A2" s="14" t="s">
        <v>349</v>
      </c>
    </row>
    <row r="3" spans="1:4" x14ac:dyDescent="0.3">
      <c r="B3" s="13">
        <f>COUNTIFS(Dataset!E2:E350,Dataset!E324,Dataset!L2:L350,Dataset!L326,Dataset!K2:K350,"&gt;500")</f>
        <v>87</v>
      </c>
      <c r="C3" s="13">
        <f>_xlfn.MAXIFS(Dataset!G2:G350,Dataset!E2:E350,Dataset!E324,Dataset!L2:L350,Dataset!L326,Dataset!K2:K350,"&gt;500")</f>
        <v>15000</v>
      </c>
    </row>
    <row r="5" spans="1:4" x14ac:dyDescent="0.3">
      <c r="A5" s="14" t="s">
        <v>350</v>
      </c>
    </row>
    <row r="6" spans="1:4" x14ac:dyDescent="0.3">
      <c r="B6" s="13" t="s">
        <v>399</v>
      </c>
    </row>
    <row r="8" spans="1:4" x14ac:dyDescent="0.3">
      <c r="A8" s="14" t="s">
        <v>351</v>
      </c>
      <c r="C8" s="13" t="s">
        <v>400</v>
      </c>
      <c r="D8" s="13" t="s">
        <v>401</v>
      </c>
    </row>
    <row r="9" spans="1:4" x14ac:dyDescent="0.3">
      <c r="B9" s="13">
        <f>_xlfn.MINIFS(Dataset!G2:G350,Dataset!E2:E350,Dataset!E330,Dataset!N2:N350,Dataset!N326)</f>
        <v>1500</v>
      </c>
      <c r="C9" s="13">
        <f>COUNTIFS(Dataset!E2:E350,Dataset!E326,Dataset!N2:N350,Dataset!N327)</f>
        <v>13</v>
      </c>
      <c r="D9" s="13">
        <f>COUNTIFS(Dataset!E2:E350,Dataset!E326,Dataset!N2:N350,Dataset!N328)</f>
        <v>157</v>
      </c>
    </row>
    <row r="11" spans="1:4" x14ac:dyDescent="0.3">
      <c r="A11" s="14" t="s">
        <v>352</v>
      </c>
    </row>
    <row r="12" spans="1:4" x14ac:dyDescent="0.3">
      <c r="B12" s="13" t="s">
        <v>403</v>
      </c>
    </row>
    <row r="14" spans="1:4" x14ac:dyDescent="0.3">
      <c r="A14" s="14" t="s">
        <v>353</v>
      </c>
      <c r="B14" s="20">
        <f>_xlfn.MAXIFS(Dataset!H2:H350,Dataset!F2:F350,"Savings",Dataset!M2:M350,Dataset!M328)</f>
        <v>80000</v>
      </c>
    </row>
    <row r="16" spans="1:4" x14ac:dyDescent="0.3">
      <c r="A16" s="14" t="s">
        <v>354</v>
      </c>
      <c r="B16" s="13" t="s">
        <v>405</v>
      </c>
    </row>
    <row r="18" spans="1:5" x14ac:dyDescent="0.3">
      <c r="A18" s="14" t="s">
        <v>406</v>
      </c>
    </row>
    <row r="19" spans="1:5" x14ac:dyDescent="0.3">
      <c r="B19" s="13" cm="1">
        <f t="array" ref="B19">SMALL(_xlfn._xlws.FILTER(Dataset!H2:H350,(Dataset!M2:M350&lt;&gt;"none")*(Dataset!N2:N350="Active")),2)</f>
        <v>43000</v>
      </c>
    </row>
    <row r="21" spans="1:5" x14ac:dyDescent="0.3">
      <c r="A21" s="14" t="s">
        <v>358</v>
      </c>
    </row>
    <row r="22" spans="1:5" x14ac:dyDescent="0.3">
      <c r="B22" s="13" cm="1">
        <f t="array" ref="B22">_xlfn.PERCENTILE.INC(IF(Dataset!L2:L350=Dataset!L326,Dataset!H2:H350),0.2)</f>
        <v>48400</v>
      </c>
    </row>
    <row r="24" spans="1:5" x14ac:dyDescent="0.3">
      <c r="A24" s="14" t="s">
        <v>362</v>
      </c>
      <c r="B24" s="18" t="s">
        <v>407</v>
      </c>
      <c r="C24" s="18"/>
      <c r="D24" s="18"/>
      <c r="E24" s="18"/>
    </row>
    <row r="25" spans="1:5" x14ac:dyDescent="0.3">
      <c r="B25" s="15" t="s">
        <v>17</v>
      </c>
      <c r="C25" s="15" t="s">
        <v>28</v>
      </c>
      <c r="D25" s="15" t="s">
        <v>24</v>
      </c>
      <c r="E25" s="15" t="s">
        <v>408</v>
      </c>
    </row>
    <row r="26" spans="1:5" x14ac:dyDescent="0.3">
      <c r="B26" s="13">
        <f>_xlfn.MAXIFS(Dataset!G2:G350,Dataset!L2:L350,Dataset!L2)</f>
        <v>11000</v>
      </c>
      <c r="C26" s="13">
        <f>_xlfn.MAXIFS(Dataset!G2:G350,Dataset!L2:L350,Dataset!L4)</f>
        <v>15000</v>
      </c>
      <c r="D26" s="13">
        <f>_xlfn.MAXIFS(Dataset!G2:G350,Dataset!L2:L350,Dataset!L3)</f>
        <v>15000</v>
      </c>
      <c r="E26" s="13">
        <f>_xlfn.MAXIFS(Dataset!G2:G350,Dataset!L2:L350,Dataset!L5)</f>
        <v>15000</v>
      </c>
    </row>
    <row r="28" spans="1:5" x14ac:dyDescent="0.3">
      <c r="A28" s="14" t="s">
        <v>364</v>
      </c>
      <c r="B28" s="18" t="s">
        <v>409</v>
      </c>
      <c r="C28" s="18"/>
    </row>
    <row r="29" spans="1:5" x14ac:dyDescent="0.3">
      <c r="B29" s="15" t="s">
        <v>410</v>
      </c>
      <c r="C29" s="15" t="s">
        <v>411</v>
      </c>
    </row>
    <row r="30" spans="1:5" x14ac:dyDescent="0.3">
      <c r="B30" s="13">
        <f>_xlfn.MAXIFS(Dataset!H2:H350,Dataset!M2:M350,Dataset!M324)</f>
        <v>82000</v>
      </c>
      <c r="C30" s="13">
        <f>_xlfn.MAXIFS(Dataset!H2:H350,Dataset!M2:M350,Dataset!M325)</f>
        <v>74000</v>
      </c>
    </row>
    <row r="32" spans="1:5" x14ac:dyDescent="0.3">
      <c r="B32" s="18" t="s">
        <v>412</v>
      </c>
      <c r="C32" s="18"/>
    </row>
    <row r="33" spans="1:4" x14ac:dyDescent="0.3">
      <c r="B33" s="19">
        <f>COUNTIF(Dataset!M2:M350,Dataset!M328)</f>
        <v>113</v>
      </c>
      <c r="C33" s="19"/>
    </row>
    <row r="35" spans="1:4" x14ac:dyDescent="0.3">
      <c r="A35" s="14" t="s">
        <v>365</v>
      </c>
      <c r="B35" s="15" t="s">
        <v>413</v>
      </c>
      <c r="C35" s="15" t="s">
        <v>414</v>
      </c>
    </row>
    <row r="36" spans="1:4" x14ac:dyDescent="0.3">
      <c r="B36" s="13">
        <f>COUNTIF(Dataset!E2:E350,Dataset!E328)</f>
        <v>170</v>
      </c>
      <c r="C36" s="13" cm="1">
        <f t="array" ref="C36">SMALL(_xlfn.UNIQUE(IF(Dataset!E2:E350="F",Dataset!H2:H350)),2)</f>
        <v>47000</v>
      </c>
    </row>
    <row r="38" spans="1:4" x14ac:dyDescent="0.3">
      <c r="A38" s="14" t="s">
        <v>366</v>
      </c>
      <c r="B38" s="15" t="s">
        <v>415</v>
      </c>
      <c r="C38" s="15" t="s">
        <v>416</v>
      </c>
      <c r="D38" s="15" t="s">
        <v>417</v>
      </c>
    </row>
    <row r="39" spans="1:4" x14ac:dyDescent="0.3">
      <c r="B39" s="13">
        <f>COUNTIF(Dataset!F2:F350,Dataset!F328)</f>
        <v>160</v>
      </c>
      <c r="C39" s="13">
        <f>COUNTIFS(Dataset!F2:F350,Dataset!F326,Dataset!H2:H350,"&gt;"&amp;MEDIAN(Dataset!H2:H350))</f>
        <v>77</v>
      </c>
      <c r="D39" s="13">
        <f>_xlfn.MAXIFS(Dataset!H2:H350,Dataset!F2:F350,Dataset!F324,Dataset!H2:H350,"&gt;"&amp;MEDIAN(Dataset!H2:H350))</f>
        <v>80000</v>
      </c>
    </row>
    <row r="41" spans="1:4" x14ac:dyDescent="0.3">
      <c r="A41" s="14" t="s">
        <v>369</v>
      </c>
      <c r="B41" s="15" t="s">
        <v>418</v>
      </c>
      <c r="C41" s="15" t="s">
        <v>419</v>
      </c>
    </row>
    <row r="42" spans="1:4" x14ac:dyDescent="0.3">
      <c r="B42" s="13">
        <f>SUMIF(Dataset!F2:F350,Dataset!F328,Dataset!H2:H350)</f>
        <v>9611000</v>
      </c>
      <c r="C42" s="13">
        <f>_xlfn.MAXIFS(Dataset!H2:H350,Dataset!F2:F350,Dataset!F328)</f>
        <v>80000</v>
      </c>
    </row>
    <row r="44" spans="1:4" x14ac:dyDescent="0.3">
      <c r="A44" s="14" t="s">
        <v>420</v>
      </c>
      <c r="C44" s="15" t="s">
        <v>421</v>
      </c>
    </row>
    <row r="45" spans="1:4" x14ac:dyDescent="0.3">
      <c r="B45" s="13">
        <f>COUNTIFS(Dataset!L2:L350,Dataset!L324,Dataset!M2:M350,Dataset!M326,Dataset!J2:J350,MIN(Dataset!J2:J350))</f>
        <v>23</v>
      </c>
      <c r="C45" s="13">
        <f>_xlfn.MINIFS(Dataset!J2:J350,Dataset!J2:J350,"&lt;&gt;0")</f>
        <v>5000</v>
      </c>
    </row>
  </sheetData>
  <mergeCells count="4">
    <mergeCell ref="B24:E24"/>
    <mergeCell ref="B28:C28"/>
    <mergeCell ref="B32:C32"/>
    <mergeCell ref="B33:C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Questions</vt:lpstr>
      <vt:lpstr>Easy</vt:lpstr>
      <vt:lpstr>Medium</vt:lpstr>
      <vt:lpstr>Hard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SAXENA</dc:creator>
  <cp:lastModifiedBy>Aditya Singh</cp:lastModifiedBy>
  <dcterms:created xsi:type="dcterms:W3CDTF">2024-09-05T16:39:58Z</dcterms:created>
  <dcterms:modified xsi:type="dcterms:W3CDTF">2025-05-27T09:44:55Z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2024-09-06T09:03:56Z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5dc6faec-6a3b-4875-88f2-4f842008fdf8</vt:lpwstr>
  </property>
  <property fmtid="{D5CDD505-2E9C-101B-9397-08002B2CF9AE}" pid="7" name="MSIP_Label_defa4170-0d19-0005-0004-bc88714345d2_ActionId">
    <vt:lpwstr>7a4499d6-b37e-488f-843e-d8bd0035c8d4</vt:lpwstr>
  </property>
  <property fmtid="{D5CDD505-2E9C-101B-9397-08002B2CF9AE}" pid="8" name="MSIP_Label_defa4170-0d19-0005-0004-bc88714345d2_ContentBits">
    <vt:lpwstr>0</vt:lpwstr>
  </property>
</Properties>
</file>